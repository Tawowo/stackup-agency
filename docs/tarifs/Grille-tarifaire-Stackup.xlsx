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Simulateur" sheetId="2" state="visible" r:id="rId4"/>
    <sheet name="Paramètres" sheetId="3" state="visible" r:id="rId5"/>
    <sheet name="Parcours client" sheetId="4" state="visible" r:id="rId6"/>
    <sheet name="Création site" sheetId="5" state="visible" r:id="rId7"/>
    <sheet name="Référencement" sheetId="6" state="visible" r:id="rId8"/>
    <sheet name="Boutique" sheetId="7" state="visible" r:id="rId9"/>
    <sheet name="Outil de gestion" sheetId="8" state="visible" r:id="rId10"/>
    <sheet name="Abonnements" sheetId="9" state="visible" r:id="rId11"/>
    <sheet name="À la carte" sheetId="10" state="visible" r:id="rId12"/>
    <sheet name="Contrat" sheetId="11" state="visible" r:id="rId13"/>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Proposition de départ : à ajuster selon ce que tu veux gagner.</t>
        </r>
      </text>
    </comment>
  </commentList>
</comments>
</file>

<file path=xl/sharedStrings.xml><?xml version="1.0" encoding="utf-8"?>
<sst xmlns="http://schemas.openxmlformats.org/spreadsheetml/2006/main" count="1287" uniqueCount="838">
  <si>
    <t xml:space="preserve">Grille tarifaire Stackup Agency — version de travail du 14/10/2026</t>
  </si>
  <si>
    <t xml:space="preserve">Mathéo Reboul · Stackup Agency · document interne, ne pas transmettre tel quel au client</t>
  </si>
  <si>
    <t xml:space="preserve">À QUOI SERT CE FICHIER</t>
  </si>
  <si>
    <t xml:space="preserve">1. Il contient le prix de chaque élément qu'on peut te demander : site, pages, niveau d'animation, référencement, boutique, outil de gestion, abonnements, services à la carte.</t>
  </si>
  <si>
    <t xml:space="preserve">2. L'onglet « Simulateur » calcule automatiquement un devis : prix exact, fourchette à afficher au client, temps estimé, taux horaire réel, acompte, abonnement mensuel, délai indicatif.</t>
  </si>
  <si>
    <t xml:space="preserve">3. Les colonnes « Exemple » du simulateur recalculent Hydr'eaux Scan et ToutouBien avec cette grille, pour vérifier que tout est cohérent.</t>
  </si>
  <si>
    <t xml:space="preserve">COMMENT L'UTILISER</t>
  </si>
  <si>
    <t xml:space="preserve">• Cellules en TEXTE BLEU = valeurs que tu peux modifier (prix, temps, paramètres). Texte noir = formules, ne pas toucher.</t>
  </si>
  <si>
    <t xml:space="preserve">• Cellules sur FOND JAUNE = ce qu'on remplit pour chaque projet (onglet Simulateur, colonne « Nouveau projet »).</t>
  </si>
  <si>
    <t xml:space="preserve">• Pour monter ou baisser tous tes prix d'un coup : onglet Paramètres, « Coefficient général » (1,00 = grille actuelle ; 1,10 = +10 % partout).</t>
  </si>
  <si>
    <t xml:space="preserve">• La colonne « Temps estimé » est une estimation de départ (≈ prix ÷ 50 €/h). Remplace-la par ton vrai temps au fil des projets : la colonne « €/h effectif » te dira si un élément est rentable.</t>
  </si>
  <si>
    <t xml:space="preserve">LES 4 NIVEAUX VISUELS (à montrer au client avec un exemple de chaque)</t>
  </si>
  <si>
    <t xml:space="preserve">• Classique : mise en page soignée et personnalisée, aucune animation. C'est le site vitrine « à partir de 500 € ».</t>
  </si>
  <si>
    <t xml:space="preserve">• Animé : apparitions douces au défilement, survols, petites animations qui donnent de la vie.</t>
  </si>
  <si>
    <t xml:space="preserve">• Signature : vraie mise en scène, effets marquants, interactions ; le visiteur se souvient du site.</t>
  </si>
  <si>
    <t xml:space="preserve">• Immersif : univers 3D animé en continu, comme stackup-agency.fr ou la démo Hydr'eaux.</t>
  </si>
  <si>
    <t xml:space="preserve">Le niveau se choisit SÉPARÉMENT pour la page d'accueil et pour les autres pages : c'est ce qui permet « accueil Immersif + reste du site Classique ».</t>
  </si>
  <si>
    <t xml:space="preserve">POUR CLAUDE (devis automatique à partir du code d'un site)</t>
  </si>
  <si>
    <t xml:space="preserve">Si on te donne ce fichier et le code d'un site terminé, produis le prix exact ainsi :</t>
  </si>
  <si>
    <t xml:space="preserve">1. Liste toutes les pages publiques (routes). Classe la page d'accueil dans un niveau visuel, puis chaque autre page : Classique (aucune animation), Animé (apparitions/survols simples), Signature (mise en scène, interactions, effets marquants), Immersif (WebGL/3D, scène animée continue). Les pages générées à partir d'un même gabarit (villes, métiers, produits, articles) comptent comme « pages en série » (le gabarit lui-même compte comme une page normale). Les pages légales sont incluses dans le forfait de lancement.</t>
  </si>
  <si>
    <t xml:space="preserve">2. Repère la portée du référencement réellement livrée (onglet Référencement, partie A : Essentiel, Local, Régional, National, selon le nombre de mots-clés travaillés et les pages ciblées), le niveau de visibilité dans les IA (partie B : présence d'un llms.txt, données structurées complètes, pages questions-réponses) et les modules à la carte (codes S..).</t>
  </si>
  <si>
    <t xml:space="preserve">3. Repère chaque fonctionnalité (onglet Création, codes F..), chaque effet sur mesure (codes E..), chaque contenu rédigé (codes C..), et le cas échéant la boutique (B..) et l'outil de gestion (O.. et OP..). Ne compte un effet E.. que s'il s'ajoute au niveau de la page (un niveau Immersif inclut déjà sa scène 3D principale).</t>
  </si>
  <si>
    <t xml:space="preserve">4. Remplis la colonne « Nouveau projet » du Simulateur avec ces quantités, recalcule, et donne : le prix exact (« Total création »), la fourchette, le détail par bloc, et l'abonnement mensuel si demandé.</t>
  </si>
  <si>
    <t xml:space="preserve">5. Signale toute chose trouvée dans le code qui n'a pas de ligne dans la grille, avec une proposition de prix basée sur le temps estimé × le taux horaire cible (onglet Paramètres).</t>
  </si>
  <si>
    <t xml:space="preserve">Prix nets : en micro-entreprise sous franchise, mention « TVA non applicable, art. 293 B du CGI » (à vérifier selon ton chiffre d'affaires de l'année).</t>
  </si>
  <si>
    <t xml:space="preserve">Document d'aide à la décision, pas un conseil juridique ou fiscal : faire relire CGV et contrats par un professionnel avant usage.</t>
  </si>
  <si>
    <t xml:space="preserve">Simulateur de devis</t>
  </si>
  <si>
    <t xml:space="preserve">Fond jaune = à remplir (colonne E pour un nouveau projet). Colonnes C et D : exemples recalculés.</t>
  </si>
  <si>
    <t xml:space="preserve">Élément</t>
  </si>
  <si>
    <t xml:space="preserve">Code</t>
  </si>
  <si>
    <t xml:space="preserve">Exemple : Hydr'eaux Scan</t>
  </si>
  <si>
    <t xml:space="preserve">Exemple : ToutouBien</t>
  </si>
  <si>
    <t xml:space="preserve">Nouveau projet</t>
  </si>
  <si>
    <t xml:space="preserve">Aide</t>
  </si>
  <si>
    <t xml:space="preserve">1. LE SITE</t>
  </si>
  <si>
    <t xml:space="preserve">Niveau visuel de la page d'accueil</t>
  </si>
  <si>
    <t xml:space="preserve">Immersif</t>
  </si>
  <si>
    <t xml:space="preserve">Signature</t>
  </si>
  <si>
    <t xml:space="preserve">Classique</t>
  </si>
  <si>
    <t xml:space="preserve">Aucun · Classique · Animé · Signature · Immersif</t>
  </si>
  <si>
    <t xml:space="preserve">Autres pages en niveau Classique</t>
  </si>
  <si>
    <t xml:space="preserve">Nombre de pages (hors pages légales, incluses).</t>
  </si>
  <si>
    <t xml:space="preserve">Autres pages en niveau Animé</t>
  </si>
  <si>
    <t xml:space="preserve">Autres pages en niveau Signature</t>
  </si>
  <si>
    <t xml:space="preserve">Autres pages en niveau Immersif</t>
  </si>
  <si>
    <t xml:space="preserve">Pages en série (villes, métiers, produits…)</t>
  </si>
  <si>
    <t xml:space="preserve">L02</t>
  </si>
  <si>
    <t xml:space="preserve">Déclinaisons d'un même gabarit.</t>
  </si>
  <si>
    <t xml:space="preserve">Total des autres pages</t>
  </si>
  <si>
    <t xml:space="preserve">Coefficient de dégressivité appliqué</t>
  </si>
  <si>
    <t xml:space="preserve">Les pages au-delà de 10 sont moins chères (gabarit déjà fait).</t>
  </si>
  <si>
    <t xml:space="preserve">Forfait de lancement</t>
  </si>
  <si>
    <t xml:space="preserve">Cadrage, mobile, légal, contact, mise en ligne.</t>
  </si>
  <si>
    <t xml:space="preserve">Page d'accueil</t>
  </si>
  <si>
    <t xml:space="preserve">Autres pages (après dégressivité)</t>
  </si>
  <si>
    <t xml:space="preserve">Pages en série</t>
  </si>
  <si>
    <t xml:space="preserve">2. RÉFÉRENCEMENT</t>
  </si>
  <si>
    <t xml:space="preserve">Portée du référencement</t>
  </si>
  <si>
    <t xml:space="preserve">Essentiel</t>
  </si>
  <si>
    <t xml:space="preserve">Local</t>
  </si>
  <si>
    <t xml:space="preserve">Aucun</t>
  </si>
  <si>
    <t xml:space="preserve">Aucun · Essentiel (nom) · Local (ville) · Régional (département/région) · National (France)</t>
  </si>
  <si>
    <t xml:space="preserve">Visibilité dans les IA</t>
  </si>
  <si>
    <t xml:space="preserve">Aucune</t>
  </si>
  <si>
    <t xml:space="preserve">Aucune · Essentielle · Avancée</t>
  </si>
  <si>
    <t xml:space="preserve">Nombre de pages à référencer</t>
  </si>
  <si>
    <t xml:space="preserve">Référencement (portée)</t>
  </si>
  <si>
    <t xml:space="preserve">3. FONCTIONNALITÉS</t>
  </si>
  <si>
    <t xml:space="preserve">Formulaire avancé</t>
  </si>
  <si>
    <t xml:space="preserve">F02</t>
  </si>
  <si>
    <t xml:space="preserve">Questionnaire guidé en plusieurs étapes</t>
  </si>
  <si>
    <t xml:space="preserve">F03</t>
  </si>
  <si>
    <t xml:space="preserve">Prise de rendez-vous (outil existant)</t>
  </si>
  <si>
    <t xml:space="preserve">F04</t>
  </si>
  <si>
    <t xml:space="preserve">Prise de rendez-vous sur mesure</t>
  </si>
  <si>
    <t xml:space="preserve">F05</t>
  </si>
  <si>
    <t xml:space="preserve">Blog / actualités</t>
  </si>
  <si>
    <t xml:space="preserve">F06</t>
  </si>
  <si>
    <t xml:space="preserve">Galerie / portfolio filtrable</t>
  </si>
  <si>
    <t xml:space="preserve">F07</t>
  </si>
  <si>
    <t xml:space="preserve">FAQ avec recherche</t>
  </si>
  <si>
    <t xml:space="preserve">F08</t>
  </si>
  <si>
    <t xml:space="preserve">Carte interactive / zone d'intervention</t>
  </si>
  <si>
    <t xml:space="preserve">F09</t>
  </si>
  <si>
    <t xml:space="preserve">Avis Google affichés</t>
  </si>
  <si>
    <t xml:space="preserve">F10</t>
  </si>
  <si>
    <t xml:space="preserve">Inscription à une newsletter</t>
  </si>
  <si>
    <t xml:space="preserve">F11</t>
  </si>
  <si>
    <t xml:space="preserve">Espace membre / client</t>
  </si>
  <si>
    <t xml:space="preserve">F12</t>
  </si>
  <si>
    <t xml:space="preserve">Paiement en ligne simple</t>
  </si>
  <si>
    <t xml:space="preserve">F13</t>
  </si>
  <si>
    <t xml:space="preserve">Version dans une autre langue</t>
  </si>
  <si>
    <t xml:space="preserve">F14</t>
  </si>
  <si>
    <t xml:space="preserve">Mesure d'audience respectueuse du RGPD</t>
  </si>
  <si>
    <t xml:space="preserve">F15</t>
  </si>
  <si>
    <t xml:space="preserve">Bouton WhatsApp / appel / chat</t>
  </si>
  <si>
    <t xml:space="preserve">F16</t>
  </si>
  <si>
    <t xml:space="preserve">Calculateur / simulateur sur mesure</t>
  </si>
  <si>
    <t xml:space="preserve">F17</t>
  </si>
  <si>
    <t xml:space="preserve">Recherche interne</t>
  </si>
  <si>
    <t xml:space="preserve">F18</t>
  </si>
  <si>
    <t xml:space="preserve">Documents à télécharger</t>
  </si>
  <si>
    <t xml:space="preserve">F19</t>
  </si>
  <si>
    <t xml:space="preserve">Fil Instagram / réseaux sociaux</t>
  </si>
  <si>
    <t xml:space="preserve">F20</t>
  </si>
  <si>
    <t xml:space="preserve">Sous-total fonctionnalités</t>
  </si>
  <si>
    <t xml:space="preserve">4. EFFETS SUR MESURE</t>
  </si>
  <si>
    <t xml:space="preserve">Scène 3D sur mesure</t>
  </si>
  <si>
    <t xml:space="preserve">E01</t>
  </si>
  <si>
    <t xml:space="preserve">Démonstration interactive</t>
  </si>
  <si>
    <t xml:space="preserve">E02</t>
  </si>
  <si>
    <t xml:space="preserve">Transitions animées entre les pages</t>
  </si>
  <si>
    <t xml:space="preserve">E03</t>
  </si>
  <si>
    <t xml:space="preserve">Récit au défilement</t>
  </si>
  <si>
    <t xml:space="preserve">E04</t>
  </si>
  <si>
    <t xml:space="preserve">Vidéo d'arrière-plan / introduction</t>
  </si>
  <si>
    <t xml:space="preserve">E05</t>
  </si>
  <si>
    <t xml:space="preserve">Chiffres et graphiques animés</t>
  </si>
  <si>
    <t xml:space="preserve">E06</t>
  </si>
  <si>
    <t xml:space="preserve">Comparateur avant / après</t>
  </si>
  <si>
    <t xml:space="preserve">E07</t>
  </si>
  <si>
    <t xml:space="preserve">Mode sombre</t>
  </si>
  <si>
    <t xml:space="preserve">E08</t>
  </si>
  <si>
    <t xml:space="preserve">Micro-interactions avancées</t>
  </si>
  <si>
    <t xml:space="preserve">E09</t>
  </si>
  <si>
    <t xml:space="preserve">Icônes ou illustrations animées sur mesure</t>
  </si>
  <si>
    <t xml:space="preserve">E10</t>
  </si>
  <si>
    <t xml:space="preserve">Sous-total effets sur mesure</t>
  </si>
  <si>
    <t xml:space="preserve">5. CONTENUS</t>
  </si>
  <si>
    <t xml:space="preserve">Rédaction d'une page</t>
  </si>
  <si>
    <t xml:space="preserve">C01</t>
  </si>
  <si>
    <t xml:space="preserve">Article de blog optimisé</t>
  </si>
  <si>
    <t xml:space="preserve">C02</t>
  </si>
  <si>
    <t xml:space="preserve">Relecture et adaptation de vos textes</t>
  </si>
  <si>
    <t xml:space="preserve">C03</t>
  </si>
  <si>
    <t xml:space="preserve">Traduction d'une page</t>
  </si>
  <si>
    <t xml:space="preserve">C04</t>
  </si>
  <si>
    <t xml:space="preserve">Reprise du contenu d'un ancien site</t>
  </si>
  <si>
    <t xml:space="preserve">C05</t>
  </si>
  <si>
    <t xml:space="preserve">Sélection et retouche d'images</t>
  </si>
  <si>
    <t xml:space="preserve">C06</t>
  </si>
  <si>
    <t xml:space="preserve">Sous-total contenus</t>
  </si>
  <si>
    <t xml:space="preserve">5b. RÉFÉRENCEMENT À LA CARTE</t>
  </si>
  <si>
    <t xml:space="preserve">Audit de référencement de départ</t>
  </si>
  <si>
    <t xml:space="preserve">S01</t>
  </si>
  <si>
    <t xml:space="preserve">Étude de mots-clés approfondie</t>
  </si>
  <si>
    <t xml:space="preserve">S02</t>
  </si>
  <si>
    <t xml:space="preserve">Page service optimisée supplémentaire</t>
  </si>
  <si>
    <t xml:space="preserve">S03</t>
  </si>
  <si>
    <t xml:space="preserve">Page ville optimisée supplémentaire</t>
  </si>
  <si>
    <t xml:space="preserve">S04</t>
  </si>
  <si>
    <t xml:space="preserve">Données structurées avancées</t>
  </si>
  <si>
    <t xml:space="preserve">S05</t>
  </si>
  <si>
    <t xml:space="preserve">Optimisation de la vitesse (Core Web Vitals)</t>
  </si>
  <si>
    <t xml:space="preserve">S06</t>
  </si>
  <si>
    <t xml:space="preserve">Optimisation des images</t>
  </si>
  <si>
    <t xml:space="preserve">S07</t>
  </si>
  <si>
    <t xml:space="preserve">Inscription dans les annuaires</t>
  </si>
  <si>
    <t xml:space="preserve">S08</t>
  </si>
  <si>
    <t xml:space="preserve">Obtention d'un lien vers votre site</t>
  </si>
  <si>
    <t xml:space="preserve">S09</t>
  </si>
  <si>
    <t xml:space="preserve">Outils Google et Bing configurés</t>
  </si>
  <si>
    <t xml:space="preserve">S10</t>
  </si>
  <si>
    <t xml:space="preserve">Référencement des fiches produits</t>
  </si>
  <si>
    <t xml:space="preserve">S11</t>
  </si>
  <si>
    <t xml:space="preserve">Référencement dans une autre langue</t>
  </si>
  <si>
    <t xml:space="preserve">S12</t>
  </si>
  <si>
    <t xml:space="preserve">Refonte sans perte de référencement</t>
  </si>
  <si>
    <t xml:space="preserve">S13</t>
  </si>
  <si>
    <t xml:space="preserve">Sous-total référencement à la carte</t>
  </si>
  <si>
    <t xml:space="preserve">6. BOUTIQUE</t>
  </si>
  <si>
    <t xml:space="preserve">Boutique en ligne</t>
  </si>
  <si>
    <t xml:space="preserve">Non</t>
  </si>
  <si>
    <t xml:space="preserve">Nombre de produits (fiches)</t>
  </si>
  <si>
    <t xml:space="preserve">On compte les fiches, pas le stock.</t>
  </si>
  <si>
    <t xml:space="preserve">Catalogue importé depuis un fichier</t>
  </si>
  <si>
    <t xml:space="preserve">Oui = forfait B02 au lieu de 3 € par produit.</t>
  </si>
  <si>
    <t xml:space="preserve">Nombre total de variantes</t>
  </si>
  <si>
    <t xml:space="preserve">Tailles × couleurs × … sur l'ensemble des produits.</t>
  </si>
  <si>
    <t xml:space="preserve">Nombre de catégories</t>
  </si>
  <si>
    <t xml:space="preserve">Socle + catalogue</t>
  </si>
  <si>
    <t xml:space="preserve">6b. OPTIONS BOUTIQUE</t>
  </si>
  <si>
    <t xml:space="preserve">Click &amp; collect</t>
  </si>
  <si>
    <t xml:space="preserve">B05</t>
  </si>
  <si>
    <t xml:space="preserve">Points relais / plusieurs transporteurs</t>
  </si>
  <si>
    <t xml:space="preserve">B06</t>
  </si>
  <si>
    <t xml:space="preserve">Abonnement / box récurrente</t>
  </si>
  <si>
    <t xml:space="preserve">B07</t>
  </si>
  <si>
    <t xml:space="preserve">Produits numériques</t>
  </si>
  <si>
    <t xml:space="preserve">B08</t>
  </si>
  <si>
    <t xml:space="preserve">Tarifs professionnels</t>
  </si>
  <si>
    <t xml:space="preserve">B09</t>
  </si>
  <si>
    <t xml:space="preserve">Synchronisation des stocks</t>
  </si>
  <si>
    <t xml:space="preserve">B10</t>
  </si>
  <si>
    <t xml:space="preserve">Avis clients sur les produits</t>
  </si>
  <si>
    <t xml:space="preserve">B11</t>
  </si>
  <si>
    <t xml:space="preserve">Codes promo avancés et fidélité</t>
  </si>
  <si>
    <t xml:space="preserve">B12</t>
  </si>
  <si>
    <t xml:space="preserve">Google Shopping</t>
  </si>
  <si>
    <t xml:space="preserve">B13</t>
  </si>
  <si>
    <t xml:space="preserve">Cartes cadeaux</t>
  </si>
  <si>
    <t xml:space="preserve">B14</t>
  </si>
  <si>
    <t xml:space="preserve">Sous-total options boutique</t>
  </si>
  <si>
    <t xml:space="preserve">7. OUTIL DE GESTION</t>
  </si>
  <si>
    <t xml:space="preserve">Outil de gestion</t>
  </si>
  <si>
    <t xml:space="preserve">Nombre d'utilisateurs</t>
  </si>
  <si>
    <t xml:space="preserve">Majoration utilisateurs</t>
  </si>
  <si>
    <t xml:space="preserve">7b. MODULES</t>
  </si>
  <si>
    <t xml:space="preserve">Clients / contacts (CRM)</t>
  </si>
  <si>
    <t xml:space="preserve">O01</t>
  </si>
  <si>
    <t xml:space="preserve">Devis</t>
  </si>
  <si>
    <t xml:space="preserve">O02</t>
  </si>
  <si>
    <t xml:space="preserve">Factures</t>
  </si>
  <si>
    <t xml:space="preserve">O03</t>
  </si>
  <si>
    <t xml:space="preserve">Suivi des paiements et relances</t>
  </si>
  <si>
    <t xml:space="preserve">O04</t>
  </si>
  <si>
    <t xml:space="preserve">Commandes fournisseurs</t>
  </si>
  <si>
    <t xml:space="preserve">O05</t>
  </si>
  <si>
    <t xml:space="preserve">Catalogue de prestations / produits</t>
  </si>
  <si>
    <t xml:space="preserve">O06</t>
  </si>
  <si>
    <t xml:space="preserve">Planning / agenda d'équipe</t>
  </si>
  <si>
    <t xml:space="preserve">O07</t>
  </si>
  <si>
    <t xml:space="preserve">Prise de rendez-vous par vos clients</t>
  </si>
  <si>
    <t xml:space="preserve">O08</t>
  </si>
  <si>
    <t xml:space="preserve">Réservations / locations</t>
  </si>
  <si>
    <t xml:space="preserve">O09</t>
  </si>
  <si>
    <t xml:space="preserve">Interventions / chantiers</t>
  </si>
  <si>
    <t xml:space="preserve">O10</t>
  </si>
  <si>
    <t xml:space="preserve">Feuilles de temps / pointage</t>
  </si>
  <si>
    <t xml:space="preserve">O11</t>
  </si>
  <si>
    <t xml:space="preserve">Congés et équipe</t>
  </si>
  <si>
    <t xml:space="preserve">O12</t>
  </si>
  <si>
    <t xml:space="preserve">Notes de frais</t>
  </si>
  <si>
    <t xml:space="preserve">O13</t>
  </si>
  <si>
    <t xml:space="preserve">Véhicules et matériel</t>
  </si>
  <si>
    <t xml:space="preserve">O14</t>
  </si>
  <si>
    <t xml:space="preserve">Caisse / encaissement</t>
  </si>
  <si>
    <t xml:space="preserve">O15</t>
  </si>
  <si>
    <t xml:space="preserve">Stocks</t>
  </si>
  <si>
    <t xml:space="preserve">O16</t>
  </si>
  <si>
    <t xml:space="preserve">Commandes en ligne / click &amp; collect</t>
  </si>
  <si>
    <t xml:space="preserve">O17</t>
  </si>
  <si>
    <t xml:space="preserve">Fidélité</t>
  </si>
  <si>
    <t xml:space="preserve">O18</t>
  </si>
  <si>
    <t xml:space="preserve">Menu / carte en ligne avec QR code</t>
  </si>
  <si>
    <t xml:space="preserve">O19</t>
  </si>
  <si>
    <t xml:space="preserve">Espace client (portail)</t>
  </si>
  <si>
    <t xml:space="preserve">O20</t>
  </si>
  <si>
    <t xml:space="preserve">Dossiers clients détaillés (santé, animaux, élèves…)</t>
  </si>
  <si>
    <t xml:space="preserve">O21</t>
  </si>
  <si>
    <t xml:space="preserve">Adhérents, cours et abonnements</t>
  </si>
  <si>
    <t xml:space="preserve">O22</t>
  </si>
  <si>
    <t xml:space="preserve">Cotisations d'association</t>
  </si>
  <si>
    <t xml:space="preserve">O23</t>
  </si>
  <si>
    <t xml:space="preserve">Traçabilité / hygiène (HACCP)</t>
  </si>
  <si>
    <t xml:space="preserve">O24</t>
  </si>
  <si>
    <t xml:space="preserve">Formulaires de terrain</t>
  </si>
  <si>
    <t xml:space="preserve">O25</t>
  </si>
  <si>
    <t xml:space="preserve">Tableau de bord avancé</t>
  </si>
  <si>
    <t xml:space="preserve">O26</t>
  </si>
  <si>
    <t xml:space="preserve">Rapports PDF automatiques</t>
  </si>
  <si>
    <t xml:space="preserve">O27</t>
  </si>
  <si>
    <t xml:space="preserve">Documents partagés</t>
  </si>
  <si>
    <t xml:space="preserve">O28</t>
  </si>
  <si>
    <t xml:space="preserve">Notifications et messagerie interne</t>
  </si>
  <si>
    <t xml:space="preserve">O29</t>
  </si>
  <si>
    <t xml:space="preserve">Signature électronique</t>
  </si>
  <si>
    <t xml:space="preserve">O30</t>
  </si>
  <si>
    <t xml:space="preserve">Devis et factures automatiques</t>
  </si>
  <si>
    <t xml:space="preserve">O31</t>
  </si>
  <si>
    <t xml:space="preserve">Facturation électronique conforme</t>
  </si>
  <si>
    <t xml:space="preserve">O32</t>
  </si>
  <si>
    <t xml:space="preserve">Commande vocale</t>
  </si>
  <si>
    <t xml:space="preserve">O33</t>
  </si>
  <si>
    <t xml:space="preserve">Automatisations sur mesure</t>
  </si>
  <si>
    <t xml:space="preserve">O34</t>
  </si>
  <si>
    <t xml:space="preserve">Assistant IA métier sur mesure</t>
  </si>
  <si>
    <t xml:space="preserve">O35</t>
  </si>
  <si>
    <t xml:space="preserve">Sous-total modules</t>
  </si>
  <si>
    <t xml:space="preserve">Nombre de modules</t>
  </si>
  <si>
    <t xml:space="preserve">Socle + modules (avec majoration)</t>
  </si>
  <si>
    <t xml:space="preserve">7c. OPTIONS DE L'OUTIL</t>
  </si>
  <si>
    <t xml:space="preserve">Relié à votre site internet</t>
  </si>
  <si>
    <t xml:space="preserve">OP1</t>
  </si>
  <si>
    <t xml:space="preserve">Application installable sur téléphone</t>
  </si>
  <si>
    <t xml:space="preserve">OP2</t>
  </si>
  <si>
    <t xml:space="preserve">Fonctionne sans connexion</t>
  </si>
  <si>
    <t xml:space="preserve">OP3</t>
  </si>
  <si>
    <t xml:space="preserve">Assistant IA intégré</t>
  </si>
  <si>
    <t xml:space="preserve">OP4</t>
  </si>
  <si>
    <t xml:space="preserve">Import de vos données existantes</t>
  </si>
  <si>
    <t xml:space="preserve">OP5</t>
  </si>
  <si>
    <t xml:space="preserve">Export comptable</t>
  </si>
  <si>
    <t xml:space="preserve">OP6</t>
  </si>
  <si>
    <t xml:space="preserve">Connexion à un service externe</t>
  </si>
  <si>
    <t xml:space="preserve">OP7</t>
  </si>
  <si>
    <t xml:space="preserve">Plusieurs établissements</t>
  </si>
  <si>
    <t xml:space="preserve">OP8</t>
  </si>
  <si>
    <t xml:space="preserve">Rôles et droits avancés</t>
  </si>
  <si>
    <t xml:space="preserve">OP9</t>
  </si>
  <si>
    <t xml:space="preserve">Sous-total options de l'outil</t>
  </si>
  <si>
    <t xml:space="preserve">8. AVANT LA SIGNATURE ET CONDITIONS</t>
  </si>
  <si>
    <t xml:space="preserve">Rendez-vous supplémentaires (heures)</t>
  </si>
  <si>
    <t xml:space="preserve">P05</t>
  </si>
  <si>
    <t xml:space="preserve">Kilomètres au-delà de 40 km (aller-retour)</t>
  </si>
  <si>
    <t xml:space="preserve">P08</t>
  </si>
  <si>
    <t xml:space="preserve">Délai accéléré</t>
  </si>
  <si>
    <t xml:space="preserve">Remise commerciale</t>
  </si>
  <si>
    <t xml:space="preserve">Au feeling, en pourcentage (ex. 5 %).</t>
  </si>
  <si>
    <t xml:space="preserve">RÉSULTAT — CRÉATION</t>
  </si>
  <si>
    <t xml:space="preserve">Total brut</t>
  </si>
  <si>
    <t xml:space="preserve">Total après coefficient, urgence et remise</t>
  </si>
  <si>
    <t xml:space="preserve">TOTAL CRÉATION (prix du devis)</t>
  </si>
  <si>
    <t xml:space="preserve">Acompte à la signature</t>
  </si>
  <si>
    <t xml:space="preserve">Fourchette à afficher : bas</t>
  </si>
  <si>
    <t xml:space="preserve">Fourchette à afficher : haut</t>
  </si>
  <si>
    <t xml:space="preserve">Paiement en 4 fois possible</t>
  </si>
  <si>
    <t xml:space="preserve">TEMPS ET RENTABILITÉ</t>
  </si>
  <si>
    <t xml:space="preserve">Temps estimé (h)</t>
  </si>
  <si>
    <t xml:space="preserve">Taux horaire effectif</t>
  </si>
  <si>
    <t xml:space="preserve">À comparer au taux cible des Paramètres.</t>
  </si>
  <si>
    <t xml:space="preserve">Délai indicatif : minimum (semaines)</t>
  </si>
  <si>
    <t xml:space="preserve">Délai indicatif : maximum (semaines)</t>
  </si>
  <si>
    <t xml:space="preserve">9. ABONNEMENT MENSUEL (facultatif)</t>
  </si>
  <si>
    <t xml:space="preserve">Abonnement souhaité</t>
  </si>
  <si>
    <t xml:space="preserve">Oui</t>
  </si>
  <si>
    <t xml:space="preserve">Publications courtes par mois</t>
  </si>
  <si>
    <t xml:space="preserve">A12</t>
  </si>
  <si>
    <t xml:space="preserve">Articles de blog par mois</t>
  </si>
  <si>
    <t xml:space="preserve">A13</t>
  </si>
  <si>
    <t xml:space="preserve">Suivi du référencement</t>
  </si>
  <si>
    <t xml:space="preserve">Suivi de la visibilité dans les IA</t>
  </si>
  <si>
    <t xml:space="preserve">A21</t>
  </si>
  <si>
    <t xml:space="preserve">Liens obtenus par mois</t>
  </si>
  <si>
    <t xml:space="preserve">A22</t>
  </si>
  <si>
    <t xml:space="preserve">Suivi de la fiche Google</t>
  </si>
  <si>
    <t xml:space="preserve">A16</t>
  </si>
  <si>
    <t xml:space="preserve">Rapport mensuel</t>
  </si>
  <si>
    <t xml:space="preserve">A17</t>
  </si>
  <si>
    <t xml:space="preserve">Heures de modifications par mois</t>
  </si>
  <si>
    <t xml:space="preserve">A18</t>
  </si>
  <si>
    <t xml:space="preserve">Paiement annuel</t>
  </si>
  <si>
    <t xml:space="preserve">Hébergement</t>
  </si>
  <si>
    <t xml:space="preserve">Maintenance</t>
  </si>
  <si>
    <t xml:space="preserve">Contenus et visibilité</t>
  </si>
  <si>
    <t xml:space="preserve">ABONNEMENT MENSUEL</t>
  </si>
  <si>
    <t xml:space="preserve">Arrondi à l'euro.</t>
  </si>
  <si>
    <t xml:space="preserve">COMPARAISON AVEC TES DEVIS ENVOYÉS</t>
  </si>
  <si>
    <t xml:space="preserve">Prix envoyé dans ton devis</t>
  </si>
  <si>
    <t xml:space="preserve">Écart grille / devis envoyé</t>
  </si>
  <si>
    <t xml:space="preserve">Abonnement proposé dans ton devis</t>
  </si>
  <si>
    <t xml:space="preserve">Paramètres généraux</t>
  </si>
  <si>
    <t xml:space="preserve">Les leviers qui s'appliquent à tout le fichier. Texte bleu = modifiable.</t>
  </si>
  <si>
    <t xml:space="preserve">Paramètre</t>
  </si>
  <si>
    <t xml:space="preserve">Valeur</t>
  </si>
  <si>
    <t xml:space="preserve">Explication</t>
  </si>
  <si>
    <t xml:space="preserve">Taux horaire cible (€/h)</t>
  </si>
  <si>
    <t xml:space="preserve">Le minimum que tu veux gagner par heure réelle. Sert de repère pour la colonne « €/h effectif ».</t>
  </si>
  <si>
    <t xml:space="preserve">Coefficient général des prix</t>
  </si>
  <si>
    <t xml:space="preserve">1,00 = grille actuelle. Multiplie toute la création ET les abonnements.</t>
  </si>
  <si>
    <t xml:space="preserve">Fourchette affichée : bas</t>
  </si>
  <si>
    <t xml:space="preserve">Le site affiche « entre bas × prix et haut × prix ».</t>
  </si>
  <si>
    <t xml:space="preserve">Fourchette affichée : haut</t>
  </si>
  <si>
    <t xml:space="preserve">Arrondi des prix (€)</t>
  </si>
  <si>
    <t xml:space="preserve">Tous les totaux sont arrondis à ce montant.</t>
  </si>
  <si>
    <t xml:space="preserve">Dégressivité : pages au plein tarif jusqu'à</t>
  </si>
  <si>
    <t xml:space="preserve">Les premières pages intérieures sont facturées 100 %.</t>
  </si>
  <si>
    <t xml:space="preserve">Dégressivité : 2e tranche jusqu'à</t>
  </si>
  <si>
    <t xml:space="preserve">Dégressivité : taux de la 2e tranche</t>
  </si>
  <si>
    <t xml:space="preserve">Pages 11 à 30 facturées à 60 % (le gabarit est déjà fait).</t>
  </si>
  <si>
    <t xml:space="preserve">Dégressivité : taux au-delà</t>
  </si>
  <si>
    <t xml:space="preserve">Pages 31+ facturées à 40 %.</t>
  </si>
  <si>
    <t xml:space="preserve">Comme dans tes devis actuels.</t>
  </si>
  <si>
    <t xml:space="preserve">Majoration délai accéléré</t>
  </si>
  <si>
    <t xml:space="preserve">Si le client veut le site plus vite que le délai indicatif.</t>
  </si>
  <si>
    <t xml:space="preserve">Heures disponibles par semaine</t>
  </si>
  <si>
    <t xml:space="preserve">Ton temps réel de production (cours compris). Sert au délai indicatif.</t>
  </si>
  <si>
    <t xml:space="preserve">Coefficient d'attente client</t>
  </si>
  <si>
    <t xml:space="preserve">Le délai réel s'allonge à cause des retours, contenus, validations.</t>
  </si>
  <si>
    <t xml:space="preserve">Paiement en 4 fois possible à partir de</t>
  </si>
  <si>
    <t xml:space="preserve">Nombre de catégories boutique incluses</t>
  </si>
  <si>
    <t xml:space="preserve">Parcours avant et pendant le projet</t>
  </si>
  <si>
    <t xml:space="preserve">Ce que le client vit avant de signer, et ce qui est inclus pendant la création.</t>
  </si>
  <si>
    <t xml:space="preserve">Ce que ça veut dire pour le client</t>
  </si>
  <si>
    <t xml:space="preserve">Prix (€)</t>
  </si>
  <si>
    <t xml:space="preserve">€/h effectif</t>
  </si>
  <si>
    <t xml:space="preserve">Unité</t>
  </si>
  <si>
    <t xml:space="preserve">Note interne</t>
  </si>
  <si>
    <t xml:space="preserve">AVANT LA SIGNATURE</t>
  </si>
  <si>
    <t xml:space="preserve">P01</t>
  </si>
  <si>
    <t xml:space="preserve">Appel découverte (30 min)</t>
  </si>
  <si>
    <t xml:space="preserve">Un appel pour comprendre qui vous êtes, votre activité et ce que vous attendez. Gratuit, sans engagement.</t>
  </si>
  <si>
    <t xml:space="preserve">forfait</t>
  </si>
  <si>
    <t xml:space="preserve">Gratuit. Sert à qualifier le projet avant la démo.</t>
  </si>
  <si>
    <t xml:space="preserve">P02</t>
  </si>
  <si>
    <t xml:space="preserve">Démo de votre future page d'accueil</t>
  </si>
  <si>
    <t xml:space="preserve">On réalise la page d'accueil de votre site, à votre image, pour que vous puissiez juger sur pièce avant de décider.</t>
  </si>
  <si>
    <t xml:space="preserve">15 € ; offerte à ta discrétion. NON déduite du devis (ne pas le préciser au client). Plafond conseillé : ~6 h de travail.</t>
  </si>
  <si>
    <t xml:space="preserve">P03</t>
  </si>
  <si>
    <t xml:space="preserve">Visio de présentation et conseil (1 h 30)</t>
  </si>
  <si>
    <t xml:space="preserve">On vous présente la démo, on échange sur vos besoins, on vous conseille et on ajuste le projet et le prix ensemble.</t>
  </si>
  <si>
    <t xml:space="preserve">30 € ; NON déduite du devis (ne pas le préciser au client).</t>
  </si>
  <si>
    <t xml:space="preserve">PENDANT LA CRÉATION (inclus dans le devis)</t>
  </si>
  <si>
    <t xml:space="preserve">P04</t>
  </si>
  <si>
    <t xml:space="preserve">Rendez-vous de finalisation inclus</t>
  </si>
  <si>
    <t xml:space="preserve">Rendez-vous (visio ou sur place) pour construire le site avec vous.</t>
  </si>
  <si>
    <t xml:space="preserve">3 inclus</t>
  </si>
  <si>
    <t xml:space="preserve">Au-delà : P05.</t>
  </si>
  <si>
    <t xml:space="preserve">Rendez-vous supplémentaire (1 h)</t>
  </si>
  <si>
    <t xml:space="preserve">Un rendez-vous de plus que ceux prévus.</t>
  </si>
  <si>
    <t xml:space="preserve">par heure</t>
  </si>
  <si>
    <t xml:space="preserve">P06</t>
  </si>
  <si>
    <t xml:space="preserve">Séries de modifications sur la maquette</t>
  </si>
  <si>
    <t xml:space="preserve">Deux séries de retours complets sur le design sont incluses avant le développement final.</t>
  </si>
  <si>
    <t xml:space="preserve">2 incluses</t>
  </si>
  <si>
    <t xml:space="preserve">Au-delà : 40 €/h.</t>
  </si>
  <si>
    <t xml:space="preserve">P07</t>
  </si>
  <si>
    <t xml:space="preserve">Mois d'ajustements après la mise en ligne</t>
  </si>
  <si>
    <t xml:space="preserve">Pendant un mois, les petites modifications du périmètre prévu sont gratuites.</t>
  </si>
  <si>
    <t xml:space="preserve">inclus</t>
  </si>
  <si>
    <t xml:space="preserve">Déplacement</t>
  </si>
  <si>
    <t xml:space="preserve">Gratuit jusqu'à 40 km de Savigné-sur-Lathan.</t>
  </si>
  <si>
    <t xml:space="preserve">par km (A/R) au-delà de 40 km</t>
  </si>
  <si>
    <t xml:space="preserve">Création de site : niveaux, pages, fonctionnalités, effets, contenus</t>
  </si>
  <si>
    <t xml:space="preserve">Le cœur de la grille. Les prix de niveau sont lus par le Simulateur.</t>
  </si>
  <si>
    <t xml:space="preserve">NIVEAUX VISUELS (le niveau se choisit pour l'accueil et pour chaque autre page)</t>
  </si>
  <si>
    <t xml:space="preserve">Niveau</t>
  </si>
  <si>
    <t xml:space="preserve">Description pour le client</t>
  </si>
  <si>
    <t xml:space="preserve">Accueil (€)</t>
  </si>
  <si>
    <t xml:space="preserve">Accueil (h)</t>
  </si>
  <si>
    <t xml:space="preserve">Page intérieure (€)</t>
  </si>
  <si>
    <t xml:space="preserve">Page intérieure (h)</t>
  </si>
  <si>
    <t xml:space="preserve">Exemple</t>
  </si>
  <si>
    <t xml:space="preserve">Pas de site (outil de gestion seul).</t>
  </si>
  <si>
    <t xml:space="preserve">Mise en page soignée et personnalisée, sans animation.</t>
  </si>
  <si>
    <t xml:space="preserve">Site vitrine d'artisan simple</t>
  </si>
  <si>
    <t xml:space="preserve">Animé</t>
  </si>
  <si>
    <t xml:space="preserve">Apparitions douces au défilement, survols, petites animations qui donnent de la vie.</t>
  </si>
  <si>
    <t xml:space="preserve">Site de commerce moderne</t>
  </si>
  <si>
    <t xml:space="preserve">Vraie mise en scène, effets marquants et interactions : un site dont on se souvient.</t>
  </si>
  <si>
    <t xml:space="preserve">ToutouBien</t>
  </si>
  <si>
    <t xml:space="preserve">Univers 3D animé en continu, comme stackup-agency.fr.</t>
  </si>
  <si>
    <t xml:space="preserve">Hydr'eaux Scan, stackup-agency.fr</t>
  </si>
  <si>
    <t xml:space="preserve">BASE DE TOUT PROJET</t>
  </si>
  <si>
    <t xml:space="preserve">L01</t>
  </si>
  <si>
    <t xml:space="preserve">Cadrage, structure du site, adaptation mobile et tablette, mentions légales et confidentialité, formulaire de contact, mise en ligne, tests.</t>
  </si>
  <si>
    <t xml:space="preserve">par projet</t>
  </si>
  <si>
    <t xml:space="preserve">Toujours compté.</t>
  </si>
  <si>
    <t xml:space="preserve">Page en série (déclinaison d'un gabarit)</t>
  </si>
  <si>
    <t xml:space="preserve">Pages générées à partir d'un même modèle : une par ville, par métier, par produit… (le modèle lui-même compte comme une page).</t>
  </si>
  <si>
    <t xml:space="preserve">par page</t>
  </si>
  <si>
    <t xml:space="preserve">FONCTIONNALITÉS</t>
  </si>
  <si>
    <t xml:space="preserve">F01</t>
  </si>
  <si>
    <t xml:space="preserve">Formulaire de contact simple</t>
  </si>
  <si>
    <t xml:space="preserve">Un formulaire qui vous envoie les demandes par e-mail.</t>
  </si>
  <si>
    <t xml:space="preserve">Inclus dans L01.</t>
  </si>
  <si>
    <t xml:space="preserve">Demande de devis avec choix, pièces jointes, photos.</t>
  </si>
  <si>
    <t xml:space="preserve">par formulaire</t>
  </si>
  <si>
    <t xml:space="preserve">Le visiteur répond étape par étape (ex. « Diagnostic Express » d'Hydr'eaux).</t>
  </si>
  <si>
    <t xml:space="preserve">par questionnaire</t>
  </si>
  <si>
    <t xml:space="preserve">Intégration d'un agenda en ligne existant (Calendly, Google Agenda…).</t>
  </si>
  <si>
    <t xml:space="preserve">Votre propre système de réservation de créneaux, sans abonnement extérieur.</t>
  </si>
  <si>
    <t xml:space="preserve">Une rubrique où publier des articles, avec catégories et recherche.</t>
  </si>
  <si>
    <t xml:space="preserve">Vos réalisations en photos, triables par catégorie.</t>
  </si>
  <si>
    <t xml:space="preserve">Questions fréquentes avec barre de recherche.</t>
  </si>
  <si>
    <t xml:space="preserve">Une carte qui montre où vous intervenez.</t>
  </si>
  <si>
    <t xml:space="preserve">Vos avis clients Google affichés sur le site.</t>
  </si>
  <si>
    <t xml:space="preserve">Formulaire relié à un outil d'envoi d'e-mails.</t>
  </si>
  <si>
    <t xml:space="preserve">Connexion personnelle pour vos clients (documents, suivi…).</t>
  </si>
  <si>
    <t xml:space="preserve">Payer un acompte ou une prestation en ligne par carte.</t>
  </si>
  <si>
    <t xml:space="preserve">Hors boutique.</t>
  </si>
  <si>
    <t xml:space="preserve">Le site disponible dans une langue de plus (traduction à part : C04).</t>
  </si>
  <si>
    <t xml:space="preserve">par langue</t>
  </si>
  <si>
    <t xml:space="preserve">Statistiques de visites sans bandeau intrusif.</t>
  </si>
  <si>
    <t xml:space="preserve">Un contact direct en un clic.</t>
  </si>
  <si>
    <t xml:space="preserve">Un outil interactif pour vos clients (estimation de prix, configurateur…).</t>
  </si>
  <si>
    <t xml:space="preserve">par outil</t>
  </si>
  <si>
    <t xml:space="preserve">Barre de recherche dans tout le site.</t>
  </si>
  <si>
    <t xml:space="preserve">Brochures, PDF, fiches techniques à télécharger.</t>
  </si>
  <si>
    <t xml:space="preserve">Vos dernières publications affichées sur le site.</t>
  </si>
  <si>
    <t xml:space="preserve">EFFETS ET ANIMATIONS SUR MESURE (en plus du niveau choisi)</t>
  </si>
  <si>
    <t xml:space="preserve">Un objet ou votre logo en 3D, animé et interactif.</t>
  </si>
  <si>
    <t xml:space="preserve">par scène</t>
  </si>
  <si>
    <t xml:space="preserve">Déjà incluse dans un accueil Immersif.</t>
  </si>
  <si>
    <t xml:space="preserve">Une animation qui explique votre métier et avec laquelle on peut jouer.</t>
  </si>
  <si>
    <t xml:space="preserve">par animation</t>
  </si>
  <si>
    <t xml:space="preserve">Le passage d'une page à l'autre devient fluide et mis en scène.</t>
  </si>
  <si>
    <t xml:space="preserve">Une section qui se raconte au fur et à mesure qu'on descend.</t>
  </si>
  <si>
    <t xml:space="preserve">par section</t>
  </si>
  <si>
    <t xml:space="preserve">Intégration d'une vidéo (le tournage et le montage ne sont pas compris).</t>
  </si>
  <si>
    <t xml:space="preserve">par vidéo</t>
  </si>
  <si>
    <t xml:space="preserve">Compteurs et graphiques qui s'animent.</t>
  </si>
  <si>
    <t xml:space="preserve">par bloc</t>
  </si>
  <si>
    <t xml:space="preserve">Un curseur pour comparer deux photos.</t>
  </si>
  <si>
    <t xml:space="preserve">Le site disponible en version claire et sombre.</t>
  </si>
  <si>
    <t xml:space="preserve">Boutons, survols et retours visuels travaillés sur tout le site.</t>
  </si>
  <si>
    <t xml:space="preserve">Des pictogrammes dessinés pour vous et animés.</t>
  </si>
  <si>
    <t xml:space="preserve">par lot de 6</t>
  </si>
  <si>
    <t xml:space="preserve">CONTENUS</t>
  </si>
  <si>
    <t xml:space="preserve">On écrit le texte d'une page à partir d'un échange avec vous.</t>
  </si>
  <si>
    <t xml:space="preserve">Un article de 800 à 1 200 mots, pensé pour Google.</t>
  </si>
  <si>
    <t xml:space="preserve">par article</t>
  </si>
  <si>
    <t xml:space="preserve">On reprend vos textes pour les rendre clairs et efficaces.</t>
  </si>
  <si>
    <t xml:space="preserve">Récupération et mise en forme des textes et images existants.</t>
  </si>
  <si>
    <t xml:space="preserve">Choix, recadrage et optimisation de vos photos.</t>
  </si>
  <si>
    <t xml:space="preserve">par lot de 10</t>
  </si>
  <si>
    <t xml:space="preserve">Référencement : être trouvé sur Google et dans les IA</t>
  </si>
  <si>
    <t xml:space="preserve">Trois réglages : jusqu'où on veut être trouvé (portée), être cité par les IA, et des modules à la carte. Décrits par leur RÉSULTAT, jamais en pourcentage.</t>
  </si>
  <si>
    <t xml:space="preserve">A. PORTÉE : jusqu'où le client veut être trouvé (chaque niveau inclut le précédent)</t>
  </si>
  <si>
    <t xml:space="preserve">Objectif pour le client</t>
  </si>
  <si>
    <t xml:space="preserve">Ce qui est fait</t>
  </si>
  <si>
    <t xml:space="preserve">Forfait (€)</t>
  </si>
  <si>
    <t xml:space="preserve">Forfait (h)</t>
  </si>
  <si>
    <t xml:space="preserve">Par page (€)</t>
  </si>
  <si>
    <t xml:space="preserve">Par page (h)</t>
  </si>
  <si>
    <t xml:space="preserve">Par page en série (€)</t>
  </si>
  <si>
    <t xml:space="preserve">Par page en série (h)</t>
  </si>
  <si>
    <t xml:space="preserve">Suivi mensuel conseillé</t>
  </si>
  <si>
    <t xml:space="preserve">Pas de travail de référencement.</t>
  </si>
  <si>
    <t xml:space="preserve">Le site est en ligne, sans optimisation.</t>
  </si>
  <si>
    <t xml:space="preserve">—</t>
  </si>
  <si>
    <t xml:space="preserve">Être trouvé quand on tape votre nom.</t>
  </si>
  <si>
    <t xml:space="preserve">Titres et descriptions de chaque page, plan du site déclaré à Google, site rapide et adapté au mobile, informations de l'entreprise structurées.</t>
  </si>
  <si>
    <t xml:space="preserve">Aucun ou publications</t>
  </si>
  <si>
    <t xml:space="preserve">Être trouvé dans votre ville et les communes autour.</t>
  </si>
  <si>
    <t xml:space="preserve">Essentiel + 20 à 40 mots-clés locaux choisis selon ce que les gens tapent vraiment, textes optimisés page par page, fiche Google Business, liens entre les pages.</t>
  </si>
  <si>
    <t xml:space="preserve">Suivi Local</t>
  </si>
  <si>
    <t xml:space="preserve">Régional</t>
  </si>
  <si>
    <t xml:space="preserve">Être trouvé dans tout votre département ou votre région, sur vos principaux services.</t>
  </si>
  <si>
    <t xml:space="preserve">Local + 80 à 150 mots-clés classés par volume de recherche, une page par service et par ville importante, analyse des concurrents, maillage complet, données structurées avancées.</t>
  </si>
  <si>
    <t xml:space="preserve">Suivi Régional</t>
  </si>
  <si>
    <t xml:space="preserve">National</t>
  </si>
  <si>
    <t xml:space="preserve">Être trouvé partout en France, sur tous vos services et sur les recherches les plus demandées.</t>
  </si>
  <si>
    <t xml:space="preserve">Régional + 200 mots-clés et plus, priorisés par volume et difficulté, architecture du site pensée pour Google, plan de contenus sur 12 mois, pages réponses aux questions fréquentes, stratégie de liens.</t>
  </si>
  <si>
    <t xml:space="preserve">Suivi National</t>
  </si>
  <si>
    <t xml:space="preserve">B. VISIBILITÉ DANS LES IA : être cité par ChatGPT, Gemini, Perplexity et les résumés IA de Google</t>
  </si>
  <si>
    <t xml:space="preserve">Pas de travail spécifique pour les IA.</t>
  </si>
  <si>
    <t xml:space="preserve">Essentielle</t>
  </si>
  <si>
    <t xml:space="preserve">Que les IA comprennent qui vous êtes et ce que vous faites.</t>
  </si>
  <si>
    <t xml:space="preserve">Fichier llms.txt, données structurées complètes (entreprise, services, FAQ, avis), informations identiques partout (nom, adresse, horaires), contenus rédigés en questions-réponses.</t>
  </si>
  <si>
    <t xml:space="preserve">Avancée</t>
  </si>
  <si>
    <t xml:space="preserve">Que les IA vous citent quand on leur demande un professionnel comme vous.</t>
  </si>
  <si>
    <t xml:space="preserve">Essentielle + pages réponses dédiées aux questions de vos clients, présence sur les sources que lisent les IA (annuaires, avis, presse locale), tests réguliers des réponses des IA sur vos recherches.</t>
  </si>
  <si>
    <t xml:space="preserve">Suivi IA</t>
  </si>
  <si>
    <t xml:space="preserve">C. MODULES À LA CARTE (en plus du niveau choisi, ou pour un site existant)</t>
  </si>
  <si>
    <t xml:space="preserve">Où vous en êtes sur Google, vos concurrents, vos points faibles, les priorités.</t>
  </si>
  <si>
    <t xml:space="preserve">Ce que vos clients tapent vraiment, combien de fois par mois, et ce qui est atteignable.</t>
  </si>
  <si>
    <t xml:space="preserve">Incluse dans les niveaux Régional et National.</t>
  </si>
  <si>
    <t xml:space="preserve">Une page dédiée à un service, rédaction comprise.</t>
  </si>
  <si>
    <t xml:space="preserve">Une page pour une ville ou un secteur, rédaction comprise.</t>
  </si>
  <si>
    <t xml:space="preserve">Avis, produits, événements, FAQ affichés directement dans Google.</t>
  </si>
  <si>
    <t xml:space="preserve">Les critères de vitesse que Google mesure.</t>
  </si>
  <si>
    <t xml:space="preserve">Noms, textes alternatifs, poids allégé.</t>
  </si>
  <si>
    <t xml:space="preserve">par lot de 50</t>
  </si>
  <si>
    <t xml:space="preserve">Pages Jaunes, annuaires locaux et professionnels, avec informations identiques partout.</t>
  </si>
  <si>
    <t xml:space="preserve">par lot de 20</t>
  </si>
  <si>
    <t xml:space="preserve">Un site sérieux qui parle de vous et renvoie vers le vôtre (partenaire, article, presse locale).</t>
  </si>
  <si>
    <t xml:space="preserve">par lien</t>
  </si>
  <si>
    <t xml:space="preserve">Search Console, Bing Webmaster, statistiques.</t>
  </si>
  <si>
    <t xml:space="preserve">Titres, descriptions et données de chaque produit de la boutique.</t>
  </si>
  <si>
    <t xml:space="preserve">par produit</t>
  </si>
  <si>
    <t xml:space="preserve">Redirections et vérifications pour garder vos positions quand on remplace un ancien site.</t>
  </si>
  <si>
    <t xml:space="preserve">Pourquoi pas un pourcentage ? « Référencé à 70 % » ne veut rien dire (et 100 % n'existe pas). Un niveau décrit par son résultat (« être trouvé dans tout mon département ») se comprend et se compare.</t>
  </si>
  <si>
    <t xml:space="preserve">Aucun positionnement ni aucune citation par une IA n'est garanti : cela dépend de la concurrence, du temps et des moteurs. À rappeler dans chaque devis.</t>
  </si>
  <si>
    <t xml:space="preserve">S'ajoute au site (forfait de lancement + accueil + pages). On compte les PRODUITS (fiches) et les VARIANTES, jamais le stock.</t>
  </si>
  <si>
    <t xml:space="preserve">BASE</t>
  </si>
  <si>
    <t xml:space="preserve">B00</t>
  </si>
  <si>
    <t xml:space="preserve">Socle boutique</t>
  </si>
  <si>
    <t xml:space="preserve">Panier, paiement par carte, comptes clients, e-mails automatiques (commande, expédition), livraison simple, conditions générales de vente.</t>
  </si>
  <si>
    <t xml:space="preserve">CATALOGUE</t>
  </si>
  <si>
    <t xml:space="preserve">B01</t>
  </si>
  <si>
    <t xml:space="preserve">Mise en ligne d'un produit</t>
  </si>
  <si>
    <t xml:space="preserve">On crée la fiche produit (photos, texte, prix) à partir de vos informations.</t>
  </si>
  <si>
    <t xml:space="preserve">Un produit = une fiche, même si vous en avez 200 en stock.</t>
  </si>
  <si>
    <t xml:space="preserve">B02</t>
  </si>
  <si>
    <t xml:space="preserve">Import du catalogue depuis un fichier</t>
  </si>
  <si>
    <t xml:space="preserve">Vous avez déjà la liste de vos produits (Excel, ancien site) : on l'importe d'un coup.</t>
  </si>
  <si>
    <t xml:space="preserve">Remplace B01 si le client fournit un fichier propre.</t>
  </si>
  <si>
    <t xml:space="preserve">B03</t>
  </si>
  <si>
    <t xml:space="preserve">Variante de produit</t>
  </si>
  <si>
    <t xml:space="preserve">Une déclinaison d'un produit : taille, couleur, contenance…</t>
  </si>
  <si>
    <t xml:space="preserve">par variante</t>
  </si>
  <si>
    <t xml:space="preserve">Ex. un t-shirt en 3 couleurs × 4 tailles = 12 variantes.</t>
  </si>
  <si>
    <t xml:space="preserve">B04</t>
  </si>
  <si>
    <t xml:space="preserve">Catégorie supplémentaire</t>
  </si>
  <si>
    <t xml:space="preserve">Au-delà des catégories incluses (voir Paramètres).</t>
  </si>
  <si>
    <t xml:space="preserve">par catégorie</t>
  </si>
  <si>
    <t xml:space="preserve">OPTIONS</t>
  </si>
  <si>
    <t xml:space="preserve">Commander en ligne, retirer en boutique.</t>
  </si>
  <si>
    <t xml:space="preserve">Choix du mode de livraison et calcul des frais.</t>
  </si>
  <si>
    <t xml:space="preserve">Le client paie tous les mois automatiquement.</t>
  </si>
  <si>
    <t xml:space="preserve">Fichiers téléchargeables après achat.</t>
  </si>
  <si>
    <t xml:space="preserve">Prix différents pour les clients pros.</t>
  </si>
  <si>
    <t xml:space="preserve">Stocks reliés à votre caisse ou à votre logiciel.</t>
  </si>
  <si>
    <t xml:space="preserve">par logiciel</t>
  </si>
  <si>
    <t xml:space="preserve">Selon le logiciel : à confirmer au devis.</t>
  </si>
  <si>
    <t xml:space="preserve">Vos produits affichés dans l'onglet Shopping de Google.</t>
  </si>
  <si>
    <t xml:space="preserve">Outil de gestion sur mesure</t>
  </si>
  <si>
    <t xml:space="preserve">Un socle + les modules choisis + les options. Le prix des modules augmente avec le nombre d'utilisateurs.</t>
  </si>
  <si>
    <t xml:space="preserve">SOCLE</t>
  </si>
  <si>
    <t xml:space="preserve">O00</t>
  </si>
  <si>
    <t xml:space="preserve">Socle de l'outil</t>
  </si>
  <si>
    <t xml:space="preserve">Connexion sécurisée, base de données, tableau de bord, export de vos données, hébergement prêt.</t>
  </si>
  <si>
    <t xml:space="preserve">Toujours compté si outil.</t>
  </si>
  <si>
    <t xml:space="preserve">MODULES — GESTION COMMERCIALE</t>
  </si>
  <si>
    <t xml:space="preserve">Fiches clients, historique, notes, relances.</t>
  </si>
  <si>
    <t xml:space="preserve">module</t>
  </si>
  <si>
    <t xml:space="preserve">Créer, envoyer et suivre vos devis.</t>
  </si>
  <si>
    <t xml:space="preserve">Factures conformes, numérotation automatique, avoirs.</t>
  </si>
  <si>
    <t xml:space="preserve">Devis→facture inclus si O02 + O03.</t>
  </si>
  <si>
    <t xml:space="preserve">Qui a payé, qui est en retard, relances automatiques.</t>
  </si>
  <si>
    <t xml:space="preserve">Vos prix et prestations réutilisables partout.</t>
  </si>
  <si>
    <t xml:space="preserve">MODULES — ORGANISATION</t>
  </si>
  <si>
    <t xml:space="preserve">Qui fait quoi, quand.</t>
  </si>
  <si>
    <t xml:space="preserve">Vos clients réservent un créneau en ligne.</t>
  </si>
  <si>
    <t xml:space="preserve">Réserver des salles, véhicules, matériel, chambres…</t>
  </si>
  <si>
    <t xml:space="preserve">Suivi des chantiers, photos, rapports d'intervention.</t>
  </si>
  <si>
    <t xml:space="preserve">Demandes de congés, échanges de créneaux.</t>
  </si>
  <si>
    <t xml:space="preserve">Entretien, disponibilité, affectation.</t>
  </si>
  <si>
    <t xml:space="preserve">MODULES — VENTE ET RELATION CLIENT</t>
  </si>
  <si>
    <t xml:space="preserve">Vérifier les obligations légales des logiciels de caisse avant de vendre ce module.</t>
  </si>
  <si>
    <t xml:space="preserve">Entrées, sorties, alertes de rupture.</t>
  </si>
  <si>
    <t xml:space="preserve">Points, récompenses, offres.</t>
  </si>
  <si>
    <t xml:space="preserve">Restaurants.</t>
  </si>
  <si>
    <t xml:space="preserve">Vos clients consultent devis, factures, documents.</t>
  </si>
  <si>
    <t xml:space="preserve">MODULES — MÉTIERS SPÉCIFIQUES</t>
  </si>
  <si>
    <t xml:space="preserve">Fiches de suivi propres à votre métier.</t>
  </si>
  <si>
    <t xml:space="preserve">Salles de sport, écoles, associations.</t>
  </si>
  <si>
    <t xml:space="preserve">Relevés de température, contrôles, registres.</t>
  </si>
  <si>
    <t xml:space="preserve">Rapports, check-lists, signatures remplis sur téléphone.</t>
  </si>
  <si>
    <t xml:space="preserve">MODULES — PILOTAGE</t>
  </si>
  <si>
    <t xml:space="preserve">Chiffre d'affaires, marges, objectifs, graphiques.</t>
  </si>
  <si>
    <t xml:space="preserve">Classement de vos fichiers par client ou dossier.</t>
  </si>
  <si>
    <t xml:space="preserve">Via un service spécialisé (coût d'usage refacturé).</t>
  </si>
  <si>
    <t xml:space="preserve">MODULES — AUTOMATISATION ET INTELLIGENCE ARTIFICIELLE</t>
  </si>
  <si>
    <t xml:space="preserve">Le devis se remplit à partir de vos prix habituels ; la facture part toute seule quand le chantier est terminé.</t>
  </si>
  <si>
    <t xml:space="preserve">Suppose O02 et O03.</t>
  </si>
  <si>
    <t xml:space="preserve">Envoi et réception des factures électroniques via une plateforme agréée, comme l'impose la réforme française.</t>
  </si>
  <si>
    <t xml:space="preserve">Calendrier de la réforme et plateforme à vérifier au devis ; abonnement de la plateforme refacturé au réel.</t>
  </si>
  <si>
    <t xml:space="preserve">Vous dictez (« j'ai vu M. Martin, 3 fenêtres PVC… ») et l'outil crée le devis, le rendez-vous ou la tâche.</t>
  </si>
  <si>
    <t xml:space="preserve">+ coût d'usage de la reconnaissance vocale / IA refacturé au réel.</t>
  </si>
  <si>
    <t xml:space="preserve">Relances, rappels, tâches répétitives qui se font toutes seules (ex. relance de devis à J+7, rappel de rendez-vous la veille).</t>
  </si>
  <si>
    <t xml:space="preserve">par scénario</t>
  </si>
  <si>
    <t xml:space="preserve">Une IA conçue pour votre activité, qui connaît vos prix, vos clients et vos habitudes, et vous conseille sans qu'on lui demande.</t>
  </si>
  <si>
    <t xml:space="preserve">+ coût d'usage refacturé au réel.</t>
  </si>
  <si>
    <t xml:space="preserve">Les données circulent entre le site et l'outil (réservations, commandes, demandes).</t>
  </si>
  <si>
    <t xml:space="preserve">L'outil s'installe comme une appli, sans passer par les stores.</t>
  </si>
  <si>
    <t xml:space="preserve">Utilisable sur un chantier sans réseau, synchronisation au retour.</t>
  </si>
  <si>
    <t xml:space="preserve">Rédaction de devis, résumés, recherche dans vos données.</t>
  </si>
  <si>
    <t xml:space="preserve">+ coût d'usage de l'IA refacturé au réel, annoncé avant.</t>
  </si>
  <si>
    <t xml:space="preserve">Reprise de vos fichiers Excel ou d'un ancien logiciel.</t>
  </si>
  <si>
    <t xml:space="preserve">par source</t>
  </si>
  <si>
    <t xml:space="preserve">Fichiers prêts pour votre comptable.</t>
  </si>
  <si>
    <t xml:space="preserve">Banque, Google Agenda, logiciel existant…</t>
  </si>
  <si>
    <t xml:space="preserve">par service</t>
  </si>
  <si>
    <t xml:space="preserve">Chaque personne ne voit que ce qui la concerne.</t>
  </si>
  <si>
    <t xml:space="preserve">MAJORATION SELON LE NOMBRE D'UTILISATEURS (appliquée au prix des modules)</t>
  </si>
  <si>
    <t xml:space="preserve">Utilisateurs à partir de</t>
  </si>
  <si>
    <t xml:space="preserve">Majoration</t>
  </si>
  <si>
    <t xml:space="preserve">Abonnements mensuels (calculés, sans engagement, préavis d'un mois)</t>
  </si>
  <si>
    <t xml:space="preserve">L'abonnement n'est pas une formule fixe : il se compose à partir de ces briques. Le Simulateur fait le calcul.</t>
  </si>
  <si>
    <t xml:space="preserve">HÉBERGEMENT (nom de domaine inclus à partir de la 2e année)</t>
  </si>
  <si>
    <t xml:space="preserve">A01</t>
  </si>
  <si>
    <t xml:space="preserve">Hébergement site jusqu'à 10 pages</t>
  </si>
  <si>
    <t xml:space="preserve">Serveur, nom de domaine, sécurité https, sauvegardes.</t>
  </si>
  <si>
    <t xml:space="preserve">par mois</t>
  </si>
  <si>
    <t xml:space="preserve">A02</t>
  </si>
  <si>
    <t xml:space="preserve">Hébergement site de plus de 10 pages</t>
  </si>
  <si>
    <t xml:space="preserve">A03</t>
  </si>
  <si>
    <t xml:space="preserve">Supplément site Immersif (3D)</t>
  </si>
  <si>
    <t xml:space="preserve">Ressources plus lourdes à diffuser.</t>
  </si>
  <si>
    <t xml:space="preserve">A04</t>
  </si>
  <si>
    <t xml:space="preserve">Hébergement boutique</t>
  </si>
  <si>
    <t xml:space="preserve">A05</t>
  </si>
  <si>
    <t xml:space="preserve">Hébergement outil de gestion</t>
  </si>
  <si>
    <t xml:space="preserve">Base de données et sauvegardes renforcées.</t>
  </si>
  <si>
    <t xml:space="preserve">MAINTENANCE ET SÉCURITÉ</t>
  </si>
  <si>
    <t xml:space="preserve">A06</t>
  </si>
  <si>
    <t xml:space="preserve">Maintenance site — base</t>
  </si>
  <si>
    <t xml:space="preserve">Mises à jour, surveillance, correction des anomalies, petites retouches.</t>
  </si>
  <si>
    <t xml:space="preserve">A07</t>
  </si>
  <si>
    <t xml:space="preserve">Maintenance — par page</t>
  </si>
  <si>
    <t xml:space="preserve">par page / mois</t>
  </si>
  <si>
    <t xml:space="preserve">A08</t>
  </si>
  <si>
    <t xml:space="preserve">Maintenance — par page en série</t>
  </si>
  <si>
    <t xml:space="preserve">A09</t>
  </si>
  <si>
    <t xml:space="preserve">Maintenance boutique</t>
  </si>
  <si>
    <t xml:space="preserve">Vérification des paiements, commandes, e-mails.</t>
  </si>
  <si>
    <t xml:space="preserve">A10</t>
  </si>
  <si>
    <t xml:space="preserve">Maintenance outil — base</t>
  </si>
  <si>
    <t xml:space="preserve">A11</t>
  </si>
  <si>
    <t xml:space="preserve">Maintenance outil — par module</t>
  </si>
  <si>
    <t xml:space="preserve">par module / mois</t>
  </si>
  <si>
    <t xml:space="preserve">CONTENUS ET VISIBILITÉ</t>
  </si>
  <si>
    <t xml:space="preserve">Publication courte</t>
  </si>
  <si>
    <t xml:space="preserve">Une réalisation, une actualité, un conseil, à partir de vos photos et infos.</t>
  </si>
  <si>
    <t xml:space="preserve">par publication</t>
  </si>
  <si>
    <t xml:space="preserve">A14</t>
  </si>
  <si>
    <t xml:space="preserve">Suivi référencement Local</t>
  </si>
  <si>
    <t xml:space="preserve">Suivi Google Search Console, améliorations mois par mois, conseils.</t>
  </si>
  <si>
    <t xml:space="preserve">A15</t>
  </si>
  <si>
    <t xml:space="preserve">Suivi référencement Régional</t>
  </si>
  <si>
    <t xml:space="preserve">Suivi Local + nouvelles pages ciblées, analyse des concurrents.</t>
  </si>
  <si>
    <t xml:space="preserve">A20</t>
  </si>
  <si>
    <t xml:space="preserve">Suivi référencement National</t>
  </si>
  <si>
    <t xml:space="preserve">Suivi Régional + plan de contenus, positions sur les recherches les plus demandées.</t>
  </si>
  <si>
    <t xml:space="preserve">Tests mensuels des réponses de ChatGPT, Gemini, Perplexity et Google sur vos recherches ; ajustements.</t>
  </si>
  <si>
    <t xml:space="preserve">Lien obtenu vers votre site</t>
  </si>
  <si>
    <t xml:space="preserve">Un nouveau site sérieux qui renvoie vers le vôtre.</t>
  </si>
  <si>
    <t xml:space="preserve">Suivi de la fiche Google Business</t>
  </si>
  <si>
    <t xml:space="preserve">Publications, réponses aux avis, mises à jour.</t>
  </si>
  <si>
    <t xml:space="preserve">Visites, demandes reçues, évolution, en une page lisible.</t>
  </si>
  <si>
    <t xml:space="preserve">Nécessite F15.</t>
  </si>
  <si>
    <t xml:space="preserve">Heure de modifications incluse</t>
  </si>
  <si>
    <t xml:space="preserve">Temps réservé chaque mois pour vos demandes de changements.</t>
  </si>
  <si>
    <t xml:space="preserve">par heure / mois</t>
  </si>
  <si>
    <t xml:space="preserve">Moins cher que l'heure ponctuelle (40 €).</t>
  </si>
  <si>
    <t xml:space="preserve">REMISE</t>
  </si>
  <si>
    <t xml:space="preserve">A19</t>
  </si>
  <si>
    <t xml:space="preserve">Remise en cas de paiement annuel</t>
  </si>
  <si>
    <t xml:space="preserve">% du total</t>
  </si>
  <si>
    <t xml:space="preserve">Valeur en pourcentage.</t>
  </si>
  <si>
    <t xml:space="preserve">Services à la carte</t>
  </si>
  <si>
    <t xml:space="preserve">Pour les clients qui ont déjà un site, ou pour les extras avant, pendant ou après un projet.</t>
  </si>
  <si>
    <t xml:space="preserve">POUR UN SITE EXISTANT</t>
  </si>
  <si>
    <t xml:space="preserve">K01</t>
  </si>
  <si>
    <t xml:space="preserve">Audit de votre site actuel</t>
  </si>
  <si>
    <t xml:space="preserve">Rapport clair : ce qui marche, ce qui bloque, quoi améliorer en priorité.</t>
  </si>
  <si>
    <t xml:space="preserve">K02</t>
  </si>
  <si>
    <t xml:space="preserve">Intervention technique</t>
  </si>
  <si>
    <t xml:space="preserve">Correction, ajout, modification sur un site existant.</t>
  </si>
  <si>
    <t xml:space="preserve">Minimum 30 min.</t>
  </si>
  <si>
    <t xml:space="preserve">K03</t>
  </si>
  <si>
    <t xml:space="preserve">Accélération du site</t>
  </si>
  <si>
    <t xml:space="preserve">Optimisation de la vitesse de chargement.</t>
  </si>
  <si>
    <t xml:space="preserve">K04</t>
  </si>
  <si>
    <t xml:space="preserve">Mise en conformité légale</t>
  </si>
  <si>
    <t xml:space="preserve">Mentions légales, confidentialité, cookies.</t>
  </si>
  <si>
    <t xml:space="preserve">K05</t>
  </si>
  <si>
    <t xml:space="preserve">Transfert d'hébergement</t>
  </si>
  <si>
    <t xml:space="preserve">Déplacer un site existant vers un hébergement géré par Stackup.</t>
  </si>
  <si>
    <t xml:space="preserve">K06</t>
  </si>
  <si>
    <t xml:space="preserve">Création de la fiche Google Business</t>
  </si>
  <si>
    <t xml:space="preserve">K07</t>
  </si>
  <si>
    <t xml:space="preserve">Adresses e-mail professionnelles</t>
  </si>
  <si>
    <t xml:space="preserve">Configuration (le coût du service e-mail reste à votre charge).</t>
  </si>
  <si>
    <t xml:space="preserve">K08</t>
  </si>
  <si>
    <t xml:space="preserve">Refonte d'un site existant</t>
  </si>
  <si>
    <t xml:space="preserve">Se calcule avec la grille de création (même prix que du neuf, moins la reprise de contenu).</t>
  </si>
  <si>
    <t xml:space="preserve">voir Simulateur</t>
  </si>
  <si>
    <t xml:space="preserve">AVANT / PENDANT / APRÈS</t>
  </si>
  <si>
    <t xml:space="preserve">K09</t>
  </si>
  <si>
    <t xml:space="preserve">Formation à l'utilisation du site ou de l'outil</t>
  </si>
  <si>
    <t xml:space="preserve">K10</t>
  </si>
  <si>
    <t xml:space="preserve">Rendez-vous de conseil stratégique (1 h 30)</t>
  </si>
  <si>
    <t xml:space="preserve">Analyse de vos besoins, recommandations concrètes.</t>
  </si>
  <si>
    <t xml:space="preserve">Le travail qui en découle est facturé à part.</t>
  </si>
  <si>
    <t xml:space="preserve">K11</t>
  </si>
  <si>
    <t xml:space="preserve">Livraison en urgence (&lt; 48 h)</t>
  </si>
  <si>
    <t xml:space="preserve">Pour une intervention ponctuelle.</t>
  </si>
  <si>
    <t xml:space="preserve">% de majoration</t>
  </si>
  <si>
    <t xml:space="preserve">K12</t>
  </si>
  <si>
    <t xml:space="preserve">Intervention hors horaires (soir, week-end)</t>
  </si>
  <si>
    <t xml:space="preserve">K13</t>
  </si>
  <si>
    <t xml:space="preserve">Retrait de la mention « Réalisé par Stackup »</t>
  </si>
  <si>
    <t xml:space="preserve">gratuit</t>
  </si>
  <si>
    <t xml:space="preserve">Gratuit : la faire payer donne une mauvaise image.</t>
  </si>
  <si>
    <t xml:space="preserve">K14</t>
  </si>
  <si>
    <t xml:space="preserve">Nom de domaine supplémentaire</t>
  </si>
  <si>
    <t xml:space="preserve">au coût réel</t>
  </si>
  <si>
    <t xml:space="preserve">K15</t>
  </si>
  <si>
    <t xml:space="preserve">Campagne e-mail / newsletter</t>
  </si>
  <si>
    <t xml:space="preserve">Rédaction et envoi d'une campagne.</t>
  </si>
  <si>
    <t xml:space="preserve">par campagne</t>
  </si>
  <si>
    <t xml:space="preserve">Ce que tu t'engages à faire (et à ne pas faire)</t>
  </si>
  <si>
    <t xml:space="preserve">Check-list des points à faire figurer dans tes devis et CGV. À faire relire par un juriste.</t>
  </si>
  <si>
    <t xml:space="preserve">Point</t>
  </si>
  <si>
    <t xml:space="preserve">Ce qu'on écrit</t>
  </si>
  <si>
    <t xml:space="preserve">Statut</t>
  </si>
  <si>
    <t xml:space="preserve">Identité</t>
  </si>
  <si>
    <t xml:space="preserve">Nom + « EI » (obligatoire pour un entrepreneur individuel), adresse, SIRET, e-mail, sur chaque devis et facture.</t>
  </si>
  <si>
    <t xml:space="preserve">À compléter dès le SIRET reçu</t>
  </si>
  <si>
    <t xml:space="preserve">TVA</t>
  </si>
  <si>
    <t xml:space="preserve">« TVA non applicable, art. 293 B du CGI » tant que tu es en franchise.</t>
  </si>
  <si>
    <t xml:space="preserve">À vérifier chaque année</t>
  </si>
  <si>
    <t xml:space="preserve">Validité du devis</t>
  </si>
  <si>
    <t xml:space="preserve">30 jours.</t>
  </si>
  <si>
    <t xml:space="preserve">Repris de tes devis</t>
  </si>
  <si>
    <t xml:space="preserve">Lancement</t>
  </si>
  <si>
    <t xml:space="preserve">Commande ferme à la signature du devis et à l'encaissement de l'acompte.</t>
  </si>
  <si>
    <t xml:space="preserve">Acompte et échéancier</t>
  </si>
  <si>
    <t xml:space="preserve">40 % à la signature ; solde à la livraison (2 fois) ou 30 % à la maquette + 30 % à la livraison (3 fois) ; 4 fois au-delà du seuil (Paramètres).</t>
  </si>
  <si>
    <t xml:space="preserve">Repris + 4 fois ajouté</t>
  </si>
  <si>
    <t xml:space="preserve">Démo et visio</t>
  </si>
  <si>
    <t xml:space="preserve">Démo 15 € et visio 30 € facturées à part, non remboursables. La démo reste ta propriété si le client ne signe pas.</t>
  </si>
  <si>
    <t xml:space="preserve">Nouveau</t>
  </si>
  <si>
    <t xml:space="preserve">Rendez-vous inclus</t>
  </si>
  <si>
    <t xml:space="preserve">3 rendez-vous de finalisation ; au-delà 40 €/h.</t>
  </si>
  <si>
    <t xml:space="preserve">Nouveau — remplace « nombre non fixé »</t>
  </si>
  <si>
    <t xml:space="preserve">Modifications incluses</t>
  </si>
  <si>
    <t xml:space="preserve">2 séries de retours sur la maquette ; puis mois d'ajustements après la mise en ligne.</t>
  </si>
  <si>
    <t xml:space="preserve">Calendrier</t>
  </si>
  <si>
    <t xml:space="preserve">Délai indicatif, suspendu tant que le client n'a pas fourni contenus, informations ou validations.</t>
  </si>
  <si>
    <t xml:space="preserve">Contenus</t>
  </si>
  <si>
    <t xml:space="preserve">Le client fournit textes, photos, logos, en garantit les droits et l'exactitude.</t>
  </si>
  <si>
    <t xml:space="preserve">Repris</t>
  </si>
  <si>
    <t xml:space="preserve">Livraison et réception</t>
  </si>
  <si>
    <t xml:space="preserve">Lien de prévisualisation ; 14 jours pour émettre des réserves écrites ; sinon réception tacite, solde exigible.</t>
  </si>
  <si>
    <t xml:space="preserve">Propriété</t>
  </si>
  <si>
    <t xml:space="preserve">Cession des droits sur le code et le design au paiement complet ; éléments tiers sous leur licence.</t>
  </si>
  <si>
    <t xml:space="preserve">Portfolio</t>
  </si>
  <si>
    <t xml:space="preserve">Droit de montrer la réalisation, sauf refus écrit du client. Mention « Réalisé par » retirable gratuitement.</t>
  </si>
  <si>
    <t xml:space="preserve">Modifié</t>
  </si>
  <si>
    <t xml:space="preserve">Référencement</t>
  </si>
  <si>
    <t xml:space="preserve">Aucun positionnement ni résultat garanti.</t>
  </si>
  <si>
    <t xml:space="preserve">Responsabilité</t>
  </si>
  <si>
    <t xml:space="preserve">Limitée au montant du devis ; pas de responsabilité pour les services tiers (hébergeur, e-mail, paiement).</t>
  </si>
  <si>
    <t xml:space="preserve">À ajouter</t>
  </si>
  <si>
    <t xml:space="preserve">Données personnelles</t>
  </si>
  <si>
    <t xml:space="preserve">Le client est responsable de traitement ; Stackup sous-traitant (art. 28 RGPD) quand il accède aux données.</t>
  </si>
  <si>
    <t xml:space="preserve">Rétractation</t>
  </si>
  <si>
    <t xml:space="preserve">14 jours si contrat hors établissement avec un particulier ou un pro de 5 salariés max hors de son domaine (art. L.221-3).</t>
  </si>
  <si>
    <t xml:space="preserve">Médiateur de la consommation</t>
  </si>
  <si>
    <t xml:space="preserve">Obligatoire si tu vends à des particuliers : nom et coordonnées du médiateur.</t>
  </si>
  <si>
    <t xml:space="preserve">À choisir</t>
  </si>
  <si>
    <t xml:space="preserve">Retard de paiement (pros)</t>
  </si>
  <si>
    <t xml:space="preserve">Pénalités (art. L.441-10 C. com.) + indemnité forfaitaire de 40 €.</t>
  </si>
  <si>
    <t xml:space="preserve">Abonnement</t>
  </si>
  <si>
    <t xml:space="preserve">Sans engagement, préavis d'un mois ; le client garde son site et ses fichiers s'il arrête.</t>
  </si>
  <si>
    <t xml:space="preserve">Hébergement et domaine</t>
  </si>
  <si>
    <t xml:space="preserve">Domaine offert la 1re année puis inclus dans l'abonnement ; sans abonnement, renouvellement à la charge du client.</t>
  </si>
  <si>
    <t xml:space="preserve">Modifié (3 ans → 1 an)</t>
  </si>
  <si>
    <t xml:space="preserve">Assurance</t>
  </si>
  <si>
    <t xml:space="preserve">Responsabilité civile professionnelle recommandée.</t>
  </si>
  <si>
    <t xml:space="preserve">À souscrire</t>
  </si>
  <si>
    <t xml:space="preserve">Force majeure</t>
  </si>
  <si>
    <t xml:space="preserve">Clause standard.</t>
  </si>
</sst>
</file>

<file path=xl/styles.xml><?xml version="1.0" encoding="utf-8"?>
<styleSheet xmlns="http://schemas.openxmlformats.org/spreadsheetml/2006/main">
  <numFmts count="11">
    <numFmt numFmtId="164" formatCode="General"/>
    <numFmt numFmtId="165" formatCode="@"/>
    <numFmt numFmtId="166" formatCode="0"/>
    <numFmt numFmtId="167" formatCode="0%"/>
    <numFmt numFmtId="168" formatCode="#,##0&quot; €&quot;;\-#,##0&quot; €&quot;;\-"/>
    <numFmt numFmtId="169" formatCode="0.00&quot; h&quot;;;\-"/>
    <numFmt numFmtId="170" formatCode="#,##0&quot; €&quot;"/>
    <numFmt numFmtId="171" formatCode="0.00"/>
    <numFmt numFmtId="172" formatCode="0&quot; h&quot;"/>
    <numFmt numFmtId="173" formatCode="0.0"/>
    <numFmt numFmtId="174" formatCode="#,##0.00&quot; €&quot;;\-#,##0.00&quot; €&quot;;\-"/>
  </numFmts>
  <fonts count="15">
    <font>
      <sz val="11"/>
      <color theme="1"/>
      <name val="Calibri"/>
      <family val="2"/>
      <charset val="1"/>
    </font>
    <font>
      <sz val="10"/>
      <name val="Arial"/>
      <family val="0"/>
    </font>
    <font>
      <sz val="10"/>
      <name val="Arial"/>
      <family val="0"/>
    </font>
    <font>
      <sz val="10"/>
      <name val="Arial"/>
      <family val="0"/>
    </font>
    <font>
      <b val="true"/>
      <sz val="16"/>
      <color rgb="FF0D2C4C"/>
      <name val="Arial"/>
      <family val="0"/>
      <charset val="1"/>
    </font>
    <font>
      <i val="true"/>
      <sz val="10"/>
      <color rgb="FF595959"/>
      <name val="Arial"/>
      <family val="0"/>
      <charset val="1"/>
    </font>
    <font>
      <sz val="10"/>
      <color rgb="FF000000"/>
      <name val="Arial"/>
      <family val="0"/>
      <charset val="1"/>
    </font>
    <font>
      <b val="true"/>
      <sz val="12"/>
      <color rgb="FF0D2C4C"/>
      <name val="Arial"/>
      <family val="0"/>
      <charset val="1"/>
    </font>
    <font>
      <b val="true"/>
      <sz val="14"/>
      <color rgb="FF0D2C4C"/>
      <name val="Arial"/>
      <family val="0"/>
      <charset val="1"/>
    </font>
    <font>
      <b val="true"/>
      <sz val="10"/>
      <color rgb="FFFFFFFF"/>
      <name val="Arial"/>
      <family val="0"/>
      <charset val="1"/>
    </font>
    <font>
      <b val="true"/>
      <sz val="10"/>
      <color rgb="FF0D2C4C"/>
      <name val="Arial"/>
      <family val="0"/>
      <charset val="1"/>
    </font>
    <font>
      <sz val="10"/>
      <color rgb="FF7F7F7F"/>
      <name val="Arial"/>
      <family val="0"/>
      <charset val="1"/>
    </font>
    <font>
      <sz val="10"/>
      <color rgb="FF0000FF"/>
      <name val="Arial"/>
      <family val="0"/>
      <charset val="1"/>
    </font>
    <font>
      <b val="true"/>
      <sz val="10"/>
      <color rgb="FF000000"/>
      <name val="Arial"/>
      <family val="0"/>
      <charset val="1"/>
    </font>
    <font>
      <sz val="10"/>
      <name val="Arial"/>
      <family val="2"/>
    </font>
  </fonts>
  <fills count="6">
    <fill>
      <patternFill patternType="none"/>
    </fill>
    <fill>
      <patternFill patternType="gray125"/>
    </fill>
    <fill>
      <patternFill patternType="solid">
        <fgColor rgb="FF0D2C4C"/>
        <bgColor rgb="FF333333"/>
      </patternFill>
    </fill>
    <fill>
      <patternFill patternType="solid">
        <fgColor rgb="FFFBE3C0"/>
        <bgColor rgb="FFFFCC99"/>
      </patternFill>
    </fill>
    <fill>
      <patternFill patternType="solid">
        <fgColor rgb="FFFFFF00"/>
        <bgColor rgb="FFFFFF00"/>
      </patternFill>
    </fill>
    <fill>
      <patternFill patternType="solid">
        <fgColor rgb="FFE8EEF5"/>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8" fontId="13" fillId="5" borderId="1"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8" fontId="6" fillId="5"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2"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70" fontId="12" fillId="0" borderId="1" xfId="0" applyFont="true" applyBorder="true" applyAlignment="true" applyProtection="false">
      <alignment horizontal="general" vertical="top" textRotation="0" wrapText="true" indent="0" shrinkToFit="false"/>
      <protection locked="true" hidden="false"/>
    </xf>
    <xf numFmtId="171" fontId="12"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72" fontId="12" fillId="0" borderId="1" xfId="0" applyFont="true" applyBorder="true" applyAlignment="true" applyProtection="false">
      <alignment horizontal="general" vertical="top" textRotation="0" wrapText="true" indent="0" shrinkToFit="false"/>
      <protection locked="true" hidden="false"/>
    </xf>
    <xf numFmtId="173" fontId="12" fillId="0" borderId="1" xfId="0" applyFont="true" applyBorder="true" applyAlignment="true" applyProtection="false">
      <alignment horizontal="general" vertical="top" textRotation="0" wrapText="true" indent="0" shrinkToFit="false"/>
      <protection locked="true" hidden="false"/>
    </xf>
    <xf numFmtId="168" fontId="12" fillId="0" borderId="1" xfId="0" applyFont="true" applyBorder="true" applyAlignment="true" applyProtection="false">
      <alignment horizontal="general" vertical="top" textRotation="0" wrapText="true" indent="0" shrinkToFit="false"/>
      <protection locked="true" hidden="false"/>
    </xf>
    <xf numFmtId="169" fontId="12"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74" fontId="12"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BE3C0"/>
      <rgbColor rgb="FFE8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69106"/>
      <rgbColor rgb="FFFF6600"/>
      <rgbColor rgb="FF595959"/>
      <rgbColor rgb="FF969696"/>
      <rgbColor rgb="FF0D2C4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C4C"/>
    <pageSetUpPr fitToPage="false"/>
  </sheetPr>
  <dimension ref="A1:A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23.8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row>
    <row r="9" customFormat="false" ht="15" hidden="false" customHeight="false" outlineLevel="0" collapsed="false">
      <c r="A9" s="4"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23.85" hidden="false" customHeight="false" outlineLevel="0" collapsed="false">
      <c r="A13" s="3" t="s">
        <v>10</v>
      </c>
    </row>
    <row r="14" customFormat="false" ht="15" hidden="false" customHeight="false" outlineLevel="0" collapsed="false">
      <c r="A14" s="3"/>
    </row>
    <row r="15" customFormat="false" ht="15" hidden="false" customHeight="false" outlineLevel="0" collapsed="false">
      <c r="A15" s="4"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row r="20" customFormat="false" ht="23.85" hidden="false" customHeight="false" outlineLevel="0" collapsed="false">
      <c r="A20" s="3" t="s">
        <v>16</v>
      </c>
    </row>
    <row r="21" customFormat="false" ht="15" hidden="false" customHeight="false" outlineLevel="0" collapsed="false">
      <c r="A21" s="3"/>
    </row>
    <row r="22" customFormat="false" ht="15" hidden="false" customHeight="false" outlineLevel="0" collapsed="false">
      <c r="A22" s="4" t="s">
        <v>17</v>
      </c>
    </row>
    <row r="23" customFormat="false" ht="15" hidden="false" customHeight="false" outlineLevel="0" collapsed="false">
      <c r="A23" s="3" t="s">
        <v>18</v>
      </c>
    </row>
    <row r="24" customFormat="false" ht="46.25" hidden="false" customHeight="false" outlineLevel="0" collapsed="false">
      <c r="A24" s="3" t="s">
        <v>19</v>
      </c>
    </row>
    <row r="25" customFormat="false" ht="35.05" hidden="false" customHeight="false" outlineLevel="0" collapsed="false">
      <c r="A25" s="3" t="s">
        <v>20</v>
      </c>
    </row>
    <row r="26" customFormat="false" ht="35.05" hidden="false" customHeight="false" outlineLevel="0" collapsed="false">
      <c r="A26" s="3" t="s">
        <v>21</v>
      </c>
    </row>
    <row r="27" customFormat="false" ht="23.85" hidden="false" customHeight="false" outlineLevel="0" collapsed="false">
      <c r="A27" s="3" t="s">
        <v>22</v>
      </c>
    </row>
    <row r="28" customFormat="false" ht="23.85" hidden="false" customHeight="false" outlineLevel="0" collapsed="false">
      <c r="A28" s="3" t="s">
        <v>23</v>
      </c>
    </row>
    <row r="29" customFormat="false" ht="15" hidden="false" customHeight="false" outlineLevel="0" collapsed="false">
      <c r="A29" s="3"/>
    </row>
    <row r="30" customFormat="false" ht="15" hidden="false" customHeight="false" outlineLevel="0" collapsed="false">
      <c r="A30" s="2" t="s">
        <v>24</v>
      </c>
    </row>
    <row r="31" customFormat="false" ht="15" hidden="false" customHeight="false" outlineLevel="0" collapsed="false">
      <c r="A31"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C4C"/>
    <pageSetUpPr fitToPage="false"/>
  </sheetPr>
  <dimension ref="A1:F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5" min="3" style="0" width="18"/>
    <col collapsed="false" customWidth="true" hidden="false" outlineLevel="0" max="6" min="6" style="0" width="40"/>
  </cols>
  <sheetData>
    <row r="1" customFormat="false" ht="17.35" hidden="false" customHeight="false" outlineLevel="0" collapsed="false">
      <c r="A1" s="5" t="s">
        <v>26</v>
      </c>
    </row>
    <row r="2" customFormat="false" ht="15" hidden="false" customHeight="false" outlineLevel="0" collapsed="false">
      <c r="A2" s="6" t="s">
        <v>27</v>
      </c>
    </row>
    <row r="4" customFormat="false" ht="30" hidden="false" customHeight="true" outlineLevel="0" collapsed="false">
      <c r="A4" s="7" t="s">
        <v>28</v>
      </c>
      <c r="B4" s="7" t="s">
        <v>29</v>
      </c>
      <c r="C4" s="7" t="s">
        <v>30</v>
      </c>
      <c r="D4" s="7" t="s">
        <v>31</v>
      </c>
      <c r="E4" s="7" t="s">
        <v>32</v>
      </c>
      <c r="F4" s="7" t="s">
        <v>33</v>
      </c>
    </row>
    <row r="6" customFormat="false" ht="15" hidden="false" customHeight="false" outlineLevel="0" collapsed="false">
      <c r="A6" s="8" t="s">
        <v>34</v>
      </c>
      <c r="B6" s="9"/>
      <c r="C6" s="9"/>
      <c r="D6" s="9"/>
      <c r="E6" s="9"/>
      <c r="F6" s="9"/>
    </row>
    <row r="7" customFormat="false" ht="15" hidden="false" customHeight="false" outlineLevel="0" collapsed="false">
      <c r="A7" s="10" t="s">
        <v>35</v>
      </c>
      <c r="B7" s="11"/>
      <c r="C7" s="12" t="s">
        <v>36</v>
      </c>
      <c r="D7" s="12" t="s">
        <v>37</v>
      </c>
      <c r="E7" s="13" t="s">
        <v>38</v>
      </c>
      <c r="F7" s="2" t="s">
        <v>39</v>
      </c>
    </row>
    <row r="8" customFormat="false" ht="15" hidden="false" customHeight="false" outlineLevel="0" collapsed="false">
      <c r="A8" s="10" t="s">
        <v>40</v>
      </c>
      <c r="B8" s="11"/>
      <c r="C8" s="14" t="n">
        <v>0</v>
      </c>
      <c r="D8" s="14" t="n">
        <v>22</v>
      </c>
      <c r="E8" s="15" t="n">
        <v>0</v>
      </c>
      <c r="F8" s="2" t="s">
        <v>41</v>
      </c>
    </row>
    <row r="9" customFormat="false" ht="15" hidden="false" customHeight="false" outlineLevel="0" collapsed="false">
      <c r="A9" s="10" t="s">
        <v>42</v>
      </c>
      <c r="B9" s="11"/>
      <c r="C9" s="14" t="n">
        <v>23</v>
      </c>
      <c r="D9" s="14" t="n">
        <v>10</v>
      </c>
      <c r="E9" s="15" t="n">
        <v>0</v>
      </c>
      <c r="F9" s="2"/>
    </row>
    <row r="10" customFormat="false" ht="15" hidden="false" customHeight="false" outlineLevel="0" collapsed="false">
      <c r="A10" s="10" t="s">
        <v>43</v>
      </c>
      <c r="B10" s="11"/>
      <c r="C10" s="14" t="n">
        <v>6</v>
      </c>
      <c r="D10" s="14" t="n">
        <v>3</v>
      </c>
      <c r="E10" s="15" t="n">
        <v>0</v>
      </c>
      <c r="F10" s="2"/>
    </row>
    <row r="11" customFormat="false" ht="15" hidden="false" customHeight="false" outlineLevel="0" collapsed="false">
      <c r="A11" s="10" t="s">
        <v>44</v>
      </c>
      <c r="B11" s="11"/>
      <c r="C11" s="14" t="n">
        <v>0</v>
      </c>
      <c r="D11" s="14" t="n">
        <v>0</v>
      </c>
      <c r="E11" s="15" t="n">
        <v>0</v>
      </c>
      <c r="F11" s="2"/>
    </row>
    <row r="12" customFormat="false" ht="15" hidden="false" customHeight="false" outlineLevel="0" collapsed="false">
      <c r="A12" s="10" t="s">
        <v>45</v>
      </c>
      <c r="B12" s="11" t="s">
        <v>46</v>
      </c>
      <c r="C12" s="14" t="n">
        <v>0</v>
      </c>
      <c r="D12" s="14" t="n">
        <v>0</v>
      </c>
      <c r="E12" s="15" t="n">
        <v>0</v>
      </c>
      <c r="F12" s="2" t="s">
        <v>47</v>
      </c>
    </row>
    <row r="13" customFormat="false" ht="15" hidden="false" customHeight="false" outlineLevel="0" collapsed="false">
      <c r="A13" s="10" t="s">
        <v>48</v>
      </c>
      <c r="C13" s="16" t="n">
        <f aca="false">SUM(C8:C11)</f>
        <v>29</v>
      </c>
      <c r="D13" s="16" t="n">
        <f aca="false">SUM(D8:D11)</f>
        <v>35</v>
      </c>
      <c r="E13" s="16" t="n">
        <f aca="false">SUM(E8:E11)</f>
        <v>0</v>
      </c>
      <c r="F13" s="2"/>
    </row>
    <row r="14" customFormat="false" ht="23.85" hidden="false" customHeight="false" outlineLevel="0" collapsed="false">
      <c r="A14" s="10" t="s">
        <v>49</v>
      </c>
      <c r="C14" s="17" t="n">
        <f aca="false">IF(C13=0,0,(MIN(C13,Paramètres!$B$10)+MAX(0,MIN(C13,Paramètres!$B$11)-Paramètres!$B$10)*Paramètres!$B$12+MAX(0,C13-Paramètres!$B$11)*Paramètres!$B$13)/C13)</f>
        <v>0.737931034482759</v>
      </c>
      <c r="D14" s="17" t="n">
        <f aca="false">IF(D13=0,0,(MIN(D13,Paramètres!$B$10)+MAX(0,MIN(D13,Paramètres!$B$11)-Paramètres!$B$10)*Paramètres!$B$12+MAX(0,D13-Paramètres!$B$11)*Paramètres!$B$13)/D13)</f>
        <v>0.685714285714286</v>
      </c>
      <c r="E14" s="17" t="n">
        <f aca="false">IF(E13=0,0,(MIN(E13,Paramètres!$B$10)+MAX(0,MIN(E13,Paramètres!$B$11)-Paramètres!$B$10)*Paramètres!$B$12+MAX(0,E13-Paramètres!$B$11)*Paramètres!$B$13)/E13)</f>
        <v>0</v>
      </c>
      <c r="F14" s="2" t="s">
        <v>50</v>
      </c>
    </row>
    <row r="15" customFormat="false" ht="15" hidden="false" customHeight="false" outlineLevel="0" collapsed="false">
      <c r="A15" s="10" t="s">
        <v>51</v>
      </c>
      <c r="C15" s="18" t="n">
        <f aca="false">'Création site'!$D$14</f>
        <v>300</v>
      </c>
      <c r="D15" s="18" t="n">
        <f aca="false">'Création site'!$D$14</f>
        <v>300</v>
      </c>
      <c r="E15" s="18" t="n">
        <f aca="false">'Création site'!$D$14</f>
        <v>300</v>
      </c>
      <c r="F15" s="2" t="s">
        <v>52</v>
      </c>
    </row>
    <row r="16" customFormat="false" ht="15" hidden="false" customHeight="false" outlineLevel="0" collapsed="false">
      <c r="A16" s="10" t="s">
        <v>53</v>
      </c>
      <c r="C16" s="18" t="n">
        <f aca="false">INDEX('Création site'!$D$6:$D$10,MATCH(C7,'Création site'!$A$6:$A$10,0))</f>
        <v>1400</v>
      </c>
      <c r="D16" s="18" t="n">
        <f aca="false">INDEX('Création site'!$D$6:$D$10,MATCH(D7,'Création site'!$A$6:$A$10,0))</f>
        <v>900</v>
      </c>
      <c r="E16" s="18" t="n">
        <f aca="false">INDEX('Création site'!$D$6:$D$10,MATCH(E7,'Création site'!$A$6:$A$10,0))</f>
        <v>200</v>
      </c>
      <c r="F16" s="2"/>
    </row>
    <row r="17" customFormat="false" ht="15" hidden="false" customHeight="false" outlineLevel="0" collapsed="false">
      <c r="A17" s="10" t="s">
        <v>54</v>
      </c>
      <c r="C17" s="18" t="n">
        <f aca="false">C14*(C8*'Création site'!$F$7+C9*'Création site'!$F$8+C10*'Création site'!$F$9+C11*'Création site'!$F$10)</f>
        <v>1505.37931034483</v>
      </c>
      <c r="D17" s="18" t="n">
        <f aca="false">D14*(D8*'Création site'!$F$7+D9*'Création site'!$F$8+D10*'Création site'!$F$9+D11*'Création site'!$F$10)</f>
        <v>1392</v>
      </c>
      <c r="E17" s="18" t="n">
        <f aca="false">E14*(E8*'Création site'!$F$7+E9*'Création site'!$F$8+E10*'Création site'!$F$9+E11*'Création site'!$F$10)</f>
        <v>0</v>
      </c>
      <c r="F17" s="2"/>
    </row>
    <row r="18" customFormat="false" ht="15" hidden="false" customHeight="false" outlineLevel="0" collapsed="false">
      <c r="A18" s="10" t="s">
        <v>55</v>
      </c>
      <c r="C18" s="18" t="n">
        <f aca="false">C12*'Création site'!$D$15</f>
        <v>0</v>
      </c>
      <c r="D18" s="18" t="n">
        <f aca="false">D12*'Création site'!$D$15</f>
        <v>0</v>
      </c>
      <c r="E18" s="18" t="n">
        <f aca="false">E12*'Création site'!$D$15</f>
        <v>0</v>
      </c>
      <c r="F18" s="2"/>
    </row>
    <row r="20" customFormat="false" ht="15" hidden="false" customHeight="false" outlineLevel="0" collapsed="false">
      <c r="A20" s="8" t="s">
        <v>56</v>
      </c>
      <c r="B20" s="9"/>
      <c r="C20" s="9"/>
      <c r="D20" s="9"/>
      <c r="E20" s="9"/>
      <c r="F20" s="9"/>
    </row>
    <row r="21" customFormat="false" ht="23.85" hidden="false" customHeight="false" outlineLevel="0" collapsed="false">
      <c r="A21" s="10" t="s">
        <v>57</v>
      </c>
      <c r="B21" s="11"/>
      <c r="C21" s="12" t="s">
        <v>58</v>
      </c>
      <c r="D21" s="12" t="s">
        <v>59</v>
      </c>
      <c r="E21" s="13" t="s">
        <v>60</v>
      </c>
      <c r="F21" s="2" t="s">
        <v>61</v>
      </c>
    </row>
    <row r="22" customFormat="false" ht="15" hidden="false" customHeight="false" outlineLevel="0" collapsed="false">
      <c r="A22" s="10" t="s">
        <v>62</v>
      </c>
      <c r="B22" s="11"/>
      <c r="C22" s="12" t="s">
        <v>63</v>
      </c>
      <c r="D22" s="12" t="s">
        <v>63</v>
      </c>
      <c r="E22" s="13" t="s">
        <v>63</v>
      </c>
      <c r="F22" s="2" t="s">
        <v>64</v>
      </c>
    </row>
    <row r="23" customFormat="false" ht="15" hidden="false" customHeight="false" outlineLevel="0" collapsed="false">
      <c r="A23" s="10" t="s">
        <v>65</v>
      </c>
      <c r="C23" s="16" t="n">
        <f aca="false">IF(C7="Aucun",0,1)+C13</f>
        <v>30</v>
      </c>
      <c r="D23" s="16" t="n">
        <f aca="false">IF(D7="Aucun",0,1)+D13</f>
        <v>36</v>
      </c>
      <c r="E23" s="16" t="n">
        <f aca="false">IF(E7="Aucun",0,1)+E13</f>
        <v>1</v>
      </c>
      <c r="F23" s="2"/>
    </row>
    <row r="24" customFormat="false" ht="15" hidden="false" customHeight="false" outlineLevel="0" collapsed="false">
      <c r="A24" s="10" t="s">
        <v>66</v>
      </c>
      <c r="C24" s="18" t="n">
        <f aca="false">INDEX(Référencement!$D$6:$D$10,MATCH(C21,Référencement!$A$6:$A$10,0))+C23*INDEX(Référencement!$F$6:$F$10,MATCH(C21,Référencement!$A$6:$A$10,0))+C12*INDEX(Référencement!$H$6:$H$10,MATCH(C21,Référencement!$A$6:$A$10,0))</f>
        <v>390</v>
      </c>
      <c r="D24" s="18" t="n">
        <f aca="false">INDEX(Référencement!$D$6:$D$10,MATCH(D21,Référencement!$A$6:$A$10,0))+D23*INDEX(Référencement!$F$6:$F$10,MATCH(D21,Référencement!$A$6:$A$10,0))+D12*INDEX(Référencement!$H$6:$H$10,MATCH(D21,Référencement!$A$6:$A$10,0))</f>
        <v>890</v>
      </c>
      <c r="E24" s="18" t="n">
        <f aca="false">INDEX(Référencement!$D$6:$D$10,MATCH(E21,Référencement!$A$6:$A$10,0))+E23*INDEX(Référencement!$F$6:$F$10,MATCH(E21,Référencement!$A$6:$A$10,0))+E12*INDEX(Référencement!$H$6:$H$10,MATCH(E21,Référencement!$A$6:$A$10,0))</f>
        <v>0</v>
      </c>
      <c r="F24" s="2"/>
    </row>
    <row r="25" customFormat="false" ht="15" hidden="false" customHeight="false" outlineLevel="0" collapsed="false">
      <c r="A25" s="10" t="s">
        <v>62</v>
      </c>
      <c r="C25" s="18" t="n">
        <f aca="false">INDEX(Référencement!$D$14:$D$16,MATCH(C22,Référencement!$A$14:$A$16,0))+C23*INDEX(Référencement!$F$14:$F$16,MATCH(C22,Référencement!$A$14:$A$16,0))</f>
        <v>0</v>
      </c>
      <c r="D25" s="18" t="n">
        <f aca="false">INDEX(Référencement!$D$14:$D$16,MATCH(D22,Référencement!$A$14:$A$16,0))+D23*INDEX(Référencement!$F$14:$F$16,MATCH(D22,Référencement!$A$14:$A$16,0))</f>
        <v>0</v>
      </c>
      <c r="E25" s="18" t="n">
        <f aca="false">INDEX(Référencement!$D$14:$D$16,MATCH(E22,Référencement!$A$14:$A$16,0))+E23*INDEX(Référencement!$F$14:$F$16,MATCH(E22,Référencement!$A$14:$A$16,0))</f>
        <v>0</v>
      </c>
      <c r="F25" s="2"/>
    </row>
    <row r="27" customFormat="false" ht="15" hidden="false" customHeight="false" outlineLevel="0" collapsed="false">
      <c r="A27" s="8" t="s">
        <v>67</v>
      </c>
      <c r="B27" s="9"/>
      <c r="C27" s="9"/>
      <c r="D27" s="9"/>
      <c r="E27" s="9"/>
      <c r="F27" s="9"/>
    </row>
    <row r="28" customFormat="false" ht="15" hidden="false" customHeight="false" outlineLevel="0" collapsed="false">
      <c r="A28" s="10" t="s">
        <v>68</v>
      </c>
      <c r="B28" s="11" t="s">
        <v>69</v>
      </c>
      <c r="C28" s="14" t="n">
        <v>1</v>
      </c>
      <c r="D28" s="14" t="n">
        <v>0</v>
      </c>
      <c r="E28" s="15" t="n">
        <v>0</v>
      </c>
      <c r="F28" s="2"/>
    </row>
    <row r="29" customFormat="false" ht="15" hidden="false" customHeight="false" outlineLevel="0" collapsed="false">
      <c r="A29" s="10" t="s">
        <v>70</v>
      </c>
      <c r="B29" s="11" t="s">
        <v>71</v>
      </c>
      <c r="C29" s="14" t="n">
        <v>1</v>
      </c>
      <c r="D29" s="14" t="n">
        <v>1</v>
      </c>
      <c r="E29" s="15" t="n">
        <v>0</v>
      </c>
      <c r="F29" s="2"/>
    </row>
    <row r="30" customFormat="false" ht="15" hidden="false" customHeight="false" outlineLevel="0" collapsed="false">
      <c r="A30" s="10" t="s">
        <v>72</v>
      </c>
      <c r="B30" s="11" t="s">
        <v>73</v>
      </c>
      <c r="C30" s="14" t="n">
        <v>0</v>
      </c>
      <c r="D30" s="14" t="n">
        <v>0</v>
      </c>
      <c r="E30" s="15" t="n">
        <v>0</v>
      </c>
      <c r="F30" s="2"/>
    </row>
    <row r="31" customFormat="false" ht="15" hidden="false" customHeight="false" outlineLevel="0" collapsed="false">
      <c r="A31" s="10" t="s">
        <v>74</v>
      </c>
      <c r="B31" s="11" t="s">
        <v>75</v>
      </c>
      <c r="C31" s="14" t="n">
        <v>0</v>
      </c>
      <c r="D31" s="14" t="n">
        <v>0</v>
      </c>
      <c r="E31" s="15" t="n">
        <v>0</v>
      </c>
      <c r="F31" s="2"/>
    </row>
    <row r="32" customFormat="false" ht="15" hidden="false" customHeight="false" outlineLevel="0" collapsed="false">
      <c r="A32" s="10" t="s">
        <v>76</v>
      </c>
      <c r="B32" s="11" t="s">
        <v>77</v>
      </c>
      <c r="C32" s="14" t="n">
        <v>0</v>
      </c>
      <c r="D32" s="14" t="n">
        <v>1</v>
      </c>
      <c r="E32" s="15" t="n">
        <v>0</v>
      </c>
      <c r="F32" s="2"/>
    </row>
    <row r="33" customFormat="false" ht="15" hidden="false" customHeight="false" outlineLevel="0" collapsed="false">
      <c r="A33" s="10" t="s">
        <v>78</v>
      </c>
      <c r="B33" s="11" t="s">
        <v>79</v>
      </c>
      <c r="C33" s="14" t="n">
        <v>0</v>
      </c>
      <c r="D33" s="14" t="n">
        <v>1</v>
      </c>
      <c r="E33" s="15" t="n">
        <v>0</v>
      </c>
      <c r="F33" s="2"/>
    </row>
    <row r="34" customFormat="false" ht="15" hidden="false" customHeight="false" outlineLevel="0" collapsed="false">
      <c r="A34" s="10" t="s">
        <v>80</v>
      </c>
      <c r="B34" s="11" t="s">
        <v>81</v>
      </c>
      <c r="C34" s="14" t="n">
        <v>1</v>
      </c>
      <c r="D34" s="14" t="n">
        <v>1</v>
      </c>
      <c r="E34" s="15" t="n">
        <v>0</v>
      </c>
      <c r="F34" s="2"/>
    </row>
    <row r="35" customFormat="false" ht="15" hidden="false" customHeight="false" outlineLevel="0" collapsed="false">
      <c r="A35" s="10" t="s">
        <v>82</v>
      </c>
      <c r="B35" s="11" t="s">
        <v>83</v>
      </c>
      <c r="C35" s="14" t="n">
        <v>0</v>
      </c>
      <c r="D35" s="14" t="n">
        <v>0</v>
      </c>
      <c r="E35" s="15" t="n">
        <v>0</v>
      </c>
      <c r="F35" s="2"/>
    </row>
    <row r="36" customFormat="false" ht="15" hidden="false" customHeight="false" outlineLevel="0" collapsed="false">
      <c r="A36" s="10" t="s">
        <v>84</v>
      </c>
      <c r="B36" s="11" t="s">
        <v>85</v>
      </c>
      <c r="C36" s="14" t="n">
        <v>0</v>
      </c>
      <c r="D36" s="14" t="n">
        <v>0</v>
      </c>
      <c r="E36" s="15" t="n">
        <v>0</v>
      </c>
      <c r="F36" s="2"/>
    </row>
    <row r="37" customFormat="false" ht="15" hidden="false" customHeight="false" outlineLevel="0" collapsed="false">
      <c r="A37" s="10" t="s">
        <v>86</v>
      </c>
      <c r="B37" s="11" t="s">
        <v>87</v>
      </c>
      <c r="C37" s="14" t="n">
        <v>0</v>
      </c>
      <c r="D37" s="14" t="n">
        <v>0</v>
      </c>
      <c r="E37" s="15" t="n">
        <v>0</v>
      </c>
      <c r="F37" s="2"/>
    </row>
    <row r="38" customFormat="false" ht="15" hidden="false" customHeight="false" outlineLevel="0" collapsed="false">
      <c r="A38" s="10" t="s">
        <v>88</v>
      </c>
      <c r="B38" s="11" t="s">
        <v>89</v>
      </c>
      <c r="C38" s="14" t="n">
        <v>0</v>
      </c>
      <c r="D38" s="14" t="n">
        <v>0</v>
      </c>
      <c r="E38" s="15" t="n">
        <v>0</v>
      </c>
      <c r="F38" s="2"/>
    </row>
    <row r="39" customFormat="false" ht="15" hidden="false" customHeight="false" outlineLevel="0" collapsed="false">
      <c r="A39" s="10" t="s">
        <v>90</v>
      </c>
      <c r="B39" s="11" t="s">
        <v>91</v>
      </c>
      <c r="C39" s="14" t="n">
        <v>0</v>
      </c>
      <c r="D39" s="14" t="n">
        <v>0</v>
      </c>
      <c r="E39" s="15" t="n">
        <v>0</v>
      </c>
      <c r="F39" s="2"/>
    </row>
    <row r="40" customFormat="false" ht="15" hidden="false" customHeight="false" outlineLevel="0" collapsed="false">
      <c r="A40" s="10" t="s">
        <v>92</v>
      </c>
      <c r="B40" s="11" t="s">
        <v>93</v>
      </c>
      <c r="C40" s="14" t="n">
        <v>0</v>
      </c>
      <c r="D40" s="14" t="n">
        <v>0</v>
      </c>
      <c r="E40" s="15" t="n">
        <v>0</v>
      </c>
      <c r="F40" s="2"/>
    </row>
    <row r="41" customFormat="false" ht="15" hidden="false" customHeight="false" outlineLevel="0" collapsed="false">
      <c r="A41" s="10" t="s">
        <v>94</v>
      </c>
      <c r="B41" s="11" t="s">
        <v>95</v>
      </c>
      <c r="C41" s="14" t="n">
        <v>0</v>
      </c>
      <c r="D41" s="14" t="n">
        <v>0</v>
      </c>
      <c r="E41" s="15" t="n">
        <v>0</v>
      </c>
      <c r="F41" s="2"/>
    </row>
    <row r="42" customFormat="false" ht="15" hidden="false" customHeight="false" outlineLevel="0" collapsed="false">
      <c r="A42" s="10" t="s">
        <v>96</v>
      </c>
      <c r="B42" s="11" t="s">
        <v>97</v>
      </c>
      <c r="C42" s="14" t="n">
        <v>0</v>
      </c>
      <c r="D42" s="14" t="n">
        <v>0</v>
      </c>
      <c r="E42" s="15" t="n">
        <v>0</v>
      </c>
      <c r="F42" s="2"/>
    </row>
    <row r="43" customFormat="false" ht="15" hidden="false" customHeight="false" outlineLevel="0" collapsed="false">
      <c r="A43" s="10" t="s">
        <v>98</v>
      </c>
      <c r="B43" s="11" t="s">
        <v>99</v>
      </c>
      <c r="C43" s="14" t="n">
        <v>0</v>
      </c>
      <c r="D43" s="14" t="n">
        <v>0</v>
      </c>
      <c r="E43" s="15" t="n">
        <v>0</v>
      </c>
      <c r="F43" s="2"/>
    </row>
    <row r="44" customFormat="false" ht="15" hidden="false" customHeight="false" outlineLevel="0" collapsed="false">
      <c r="A44" s="10" t="s">
        <v>100</v>
      </c>
      <c r="B44" s="11" t="s">
        <v>101</v>
      </c>
      <c r="C44" s="14" t="n">
        <v>0</v>
      </c>
      <c r="D44" s="14" t="n">
        <v>0</v>
      </c>
      <c r="E44" s="15" t="n">
        <v>0</v>
      </c>
      <c r="F44" s="2"/>
    </row>
    <row r="45" customFormat="false" ht="15" hidden="false" customHeight="false" outlineLevel="0" collapsed="false">
      <c r="A45" s="10" t="s">
        <v>102</v>
      </c>
      <c r="B45" s="11" t="s">
        <v>103</v>
      </c>
      <c r="C45" s="14" t="n">
        <v>0</v>
      </c>
      <c r="D45" s="14" t="n">
        <v>0</v>
      </c>
      <c r="E45" s="15" t="n">
        <v>0</v>
      </c>
      <c r="F45" s="2"/>
    </row>
    <row r="46" customFormat="false" ht="15" hidden="false" customHeight="false" outlineLevel="0" collapsed="false">
      <c r="A46" s="10" t="s">
        <v>104</v>
      </c>
      <c r="B46" s="11" t="s">
        <v>105</v>
      </c>
      <c r="C46" s="14" t="n">
        <v>0</v>
      </c>
      <c r="D46" s="14" t="n">
        <v>0</v>
      </c>
      <c r="E46" s="15" t="n">
        <v>0</v>
      </c>
      <c r="F46" s="2"/>
    </row>
    <row r="47" customFormat="false" ht="15" hidden="false" customHeight="false" outlineLevel="0" collapsed="false">
      <c r="A47" s="19" t="s">
        <v>106</v>
      </c>
      <c r="C47" s="20" t="n">
        <f aca="false">C28*'Création site'!$D$18+C29*'Création site'!$D$19+C30*'Création site'!$D$20+C31*'Création site'!$D$21+C32*'Création site'!$D$22+C33*'Création site'!$D$23+C34*'Création site'!$D$24+C35*'Création site'!$D$25+C36*'Création site'!$D$26+C37*'Création site'!$D$27+C38*'Création site'!$D$28+C39*'Création site'!$D$29+C40*'Création site'!$D$30+C41*'Création site'!$D$31+C42*'Création site'!$D$32+C43*'Création site'!$D$33+C44*'Création site'!$D$34+C45*'Création site'!$D$35+C46*'Création site'!$D$36</f>
        <v>450</v>
      </c>
      <c r="D47" s="20" t="n">
        <f aca="false">D28*'Création site'!$D$18+D29*'Création site'!$D$19+D30*'Création site'!$D$20+D31*'Création site'!$D$21+D32*'Création site'!$D$22+D33*'Création site'!$D$23+D34*'Création site'!$D$24+D35*'Création site'!$D$25+D36*'Création site'!$D$26+D37*'Création site'!$D$27+D38*'Création site'!$D$28+D39*'Création site'!$D$29+D40*'Création site'!$D$30+D41*'Création site'!$D$31+D42*'Création site'!$D$32+D43*'Création site'!$D$33+D44*'Création site'!$D$34+D45*'Création site'!$D$35+D46*'Création site'!$D$36</f>
        <v>650</v>
      </c>
      <c r="E47" s="20" t="n">
        <f aca="false">E28*'Création site'!$D$18+E29*'Création site'!$D$19+E30*'Création site'!$D$20+E31*'Création site'!$D$21+E32*'Création site'!$D$22+E33*'Création site'!$D$23+E34*'Création site'!$D$24+E35*'Création site'!$D$25+E36*'Création site'!$D$26+E37*'Création site'!$D$27+E38*'Création site'!$D$28+E39*'Création site'!$D$29+E40*'Création site'!$D$30+E41*'Création site'!$D$31+E42*'Création site'!$D$32+E43*'Création site'!$D$33+E44*'Création site'!$D$34+E45*'Création site'!$D$35+E46*'Création site'!$D$36</f>
        <v>0</v>
      </c>
      <c r="F47" s="2"/>
    </row>
    <row r="49" customFormat="false" ht="15" hidden="false" customHeight="false" outlineLevel="0" collapsed="false">
      <c r="A49" s="8" t="s">
        <v>107</v>
      </c>
      <c r="B49" s="9"/>
      <c r="C49" s="9"/>
      <c r="D49" s="9"/>
      <c r="E49" s="9"/>
      <c r="F49" s="9"/>
    </row>
    <row r="50" customFormat="false" ht="15" hidden="false" customHeight="false" outlineLevel="0" collapsed="false">
      <c r="A50" s="10" t="s">
        <v>108</v>
      </c>
      <c r="B50" s="11" t="s">
        <v>109</v>
      </c>
      <c r="C50" s="14" t="n">
        <v>0</v>
      </c>
      <c r="D50" s="14" t="n">
        <v>0</v>
      </c>
      <c r="E50" s="15" t="n">
        <v>0</v>
      </c>
      <c r="F50" s="2"/>
    </row>
    <row r="51" customFormat="false" ht="15" hidden="false" customHeight="false" outlineLevel="0" collapsed="false">
      <c r="A51" s="10" t="s">
        <v>110</v>
      </c>
      <c r="B51" s="11" t="s">
        <v>111</v>
      </c>
      <c r="C51" s="14" t="n">
        <v>0</v>
      </c>
      <c r="D51" s="14" t="n">
        <v>0</v>
      </c>
      <c r="E51" s="15" t="n">
        <v>0</v>
      </c>
      <c r="F51" s="2"/>
    </row>
    <row r="52" customFormat="false" ht="15" hidden="false" customHeight="false" outlineLevel="0" collapsed="false">
      <c r="A52" s="10" t="s">
        <v>112</v>
      </c>
      <c r="B52" s="11" t="s">
        <v>113</v>
      </c>
      <c r="C52" s="14" t="n">
        <v>0</v>
      </c>
      <c r="D52" s="14" t="n">
        <v>0</v>
      </c>
      <c r="E52" s="15" t="n">
        <v>0</v>
      </c>
      <c r="F52" s="2"/>
    </row>
    <row r="53" customFormat="false" ht="15" hidden="false" customHeight="false" outlineLevel="0" collapsed="false">
      <c r="A53" s="10" t="s">
        <v>114</v>
      </c>
      <c r="B53" s="11" t="s">
        <v>115</v>
      </c>
      <c r="C53" s="14" t="n">
        <v>0</v>
      </c>
      <c r="D53" s="14" t="n">
        <v>0</v>
      </c>
      <c r="E53" s="15" t="n">
        <v>0</v>
      </c>
      <c r="F53" s="2"/>
    </row>
    <row r="54" customFormat="false" ht="15" hidden="false" customHeight="false" outlineLevel="0" collapsed="false">
      <c r="A54" s="10" t="s">
        <v>116</v>
      </c>
      <c r="B54" s="11" t="s">
        <v>117</v>
      </c>
      <c r="C54" s="14" t="n">
        <v>0</v>
      </c>
      <c r="D54" s="14" t="n">
        <v>0</v>
      </c>
      <c r="E54" s="15" t="n">
        <v>0</v>
      </c>
      <c r="F54" s="2"/>
    </row>
    <row r="55" customFormat="false" ht="15" hidden="false" customHeight="false" outlineLevel="0" collapsed="false">
      <c r="A55" s="10" t="s">
        <v>118</v>
      </c>
      <c r="B55" s="11" t="s">
        <v>119</v>
      </c>
      <c r="C55" s="14" t="n">
        <v>0</v>
      </c>
      <c r="D55" s="14" t="n">
        <v>0</v>
      </c>
      <c r="E55" s="15" t="n">
        <v>0</v>
      </c>
      <c r="F55" s="2"/>
    </row>
    <row r="56" customFormat="false" ht="15" hidden="false" customHeight="false" outlineLevel="0" collapsed="false">
      <c r="A56" s="10" t="s">
        <v>120</v>
      </c>
      <c r="B56" s="11" t="s">
        <v>121</v>
      </c>
      <c r="C56" s="14" t="n">
        <v>0</v>
      </c>
      <c r="D56" s="14" t="n">
        <v>0</v>
      </c>
      <c r="E56" s="15" t="n">
        <v>0</v>
      </c>
      <c r="F56" s="2"/>
    </row>
    <row r="57" customFormat="false" ht="15" hidden="false" customHeight="false" outlineLevel="0" collapsed="false">
      <c r="A57" s="10" t="s">
        <v>122</v>
      </c>
      <c r="B57" s="11" t="s">
        <v>123</v>
      </c>
      <c r="C57" s="14" t="n">
        <v>0</v>
      </c>
      <c r="D57" s="14" t="n">
        <v>0</v>
      </c>
      <c r="E57" s="15" t="n">
        <v>0</v>
      </c>
      <c r="F57" s="2"/>
    </row>
    <row r="58" customFormat="false" ht="15" hidden="false" customHeight="false" outlineLevel="0" collapsed="false">
      <c r="A58" s="10" t="s">
        <v>124</v>
      </c>
      <c r="B58" s="11" t="s">
        <v>125</v>
      </c>
      <c r="C58" s="14" t="n">
        <v>0</v>
      </c>
      <c r="D58" s="14" t="n">
        <v>0</v>
      </c>
      <c r="E58" s="15" t="n">
        <v>0</v>
      </c>
      <c r="F58" s="2"/>
    </row>
    <row r="59" customFormat="false" ht="15" hidden="false" customHeight="false" outlineLevel="0" collapsed="false">
      <c r="A59" s="10" t="s">
        <v>126</v>
      </c>
      <c r="B59" s="11" t="s">
        <v>127</v>
      </c>
      <c r="C59" s="14" t="n">
        <v>0</v>
      </c>
      <c r="D59" s="14" t="n">
        <v>0</v>
      </c>
      <c r="E59" s="15" t="n">
        <v>0</v>
      </c>
      <c r="F59" s="2"/>
    </row>
    <row r="60" customFormat="false" ht="15" hidden="false" customHeight="false" outlineLevel="0" collapsed="false">
      <c r="A60" s="19" t="s">
        <v>128</v>
      </c>
      <c r="C60" s="20" t="n">
        <f aca="false">C50*'Création site'!$D$38+C51*'Création site'!$D$39+C52*'Création site'!$D$40+C53*'Création site'!$D$41+C54*'Création site'!$D$42+C55*'Création site'!$D$43+C56*'Création site'!$D$44+C57*'Création site'!$D$45+C58*'Création site'!$D$46+C59*'Création site'!$D$47</f>
        <v>0</v>
      </c>
      <c r="D60" s="20" t="n">
        <f aca="false">D50*'Création site'!$D$38+D51*'Création site'!$D$39+D52*'Création site'!$D$40+D53*'Création site'!$D$41+D54*'Création site'!$D$42+D55*'Création site'!$D$43+D56*'Création site'!$D$44+D57*'Création site'!$D$45+D58*'Création site'!$D$46+D59*'Création site'!$D$47</f>
        <v>0</v>
      </c>
      <c r="E60" s="20" t="n">
        <f aca="false">E50*'Création site'!$D$38+E51*'Création site'!$D$39+E52*'Création site'!$D$40+E53*'Création site'!$D$41+E54*'Création site'!$D$42+E55*'Création site'!$D$43+E56*'Création site'!$D$44+E57*'Création site'!$D$45+E58*'Création site'!$D$46+E59*'Création site'!$D$47</f>
        <v>0</v>
      </c>
      <c r="F60" s="2"/>
    </row>
    <row r="62" customFormat="false" ht="15" hidden="false" customHeight="false" outlineLevel="0" collapsed="false">
      <c r="A62" s="8" t="s">
        <v>129</v>
      </c>
      <c r="B62" s="9"/>
      <c r="C62" s="9"/>
      <c r="D62" s="9"/>
      <c r="E62" s="9"/>
      <c r="F62" s="9"/>
    </row>
    <row r="63" customFormat="false" ht="15" hidden="false" customHeight="false" outlineLevel="0" collapsed="false">
      <c r="A63" s="10" t="s">
        <v>130</v>
      </c>
      <c r="B63" s="11" t="s">
        <v>131</v>
      </c>
      <c r="C63" s="14" t="n">
        <v>0</v>
      </c>
      <c r="D63" s="14" t="n">
        <v>0</v>
      </c>
      <c r="E63" s="15" t="n">
        <v>0</v>
      </c>
      <c r="F63" s="2"/>
    </row>
    <row r="64" customFormat="false" ht="15" hidden="false" customHeight="false" outlineLevel="0" collapsed="false">
      <c r="A64" s="10" t="s">
        <v>132</v>
      </c>
      <c r="B64" s="11" t="s">
        <v>133</v>
      </c>
      <c r="C64" s="14" t="n">
        <v>0</v>
      </c>
      <c r="D64" s="14" t="n">
        <v>0</v>
      </c>
      <c r="E64" s="15" t="n">
        <v>0</v>
      </c>
      <c r="F64" s="2"/>
    </row>
    <row r="65" customFormat="false" ht="15" hidden="false" customHeight="false" outlineLevel="0" collapsed="false">
      <c r="A65" s="10" t="s">
        <v>134</v>
      </c>
      <c r="B65" s="11" t="s">
        <v>135</v>
      </c>
      <c r="C65" s="14" t="n">
        <v>0</v>
      </c>
      <c r="D65" s="14" t="n">
        <v>0</v>
      </c>
      <c r="E65" s="15" t="n">
        <v>0</v>
      </c>
      <c r="F65" s="2"/>
    </row>
    <row r="66" customFormat="false" ht="15" hidden="false" customHeight="false" outlineLevel="0" collapsed="false">
      <c r="A66" s="10" t="s">
        <v>136</v>
      </c>
      <c r="B66" s="11" t="s">
        <v>137</v>
      </c>
      <c r="C66" s="14" t="n">
        <v>0</v>
      </c>
      <c r="D66" s="14" t="n">
        <v>0</v>
      </c>
      <c r="E66" s="15" t="n">
        <v>0</v>
      </c>
      <c r="F66" s="2"/>
    </row>
    <row r="67" customFormat="false" ht="15" hidden="false" customHeight="false" outlineLevel="0" collapsed="false">
      <c r="A67" s="10" t="s">
        <v>138</v>
      </c>
      <c r="B67" s="11" t="s">
        <v>139</v>
      </c>
      <c r="C67" s="14" t="n">
        <v>0</v>
      </c>
      <c r="D67" s="14" t="n">
        <v>0</v>
      </c>
      <c r="E67" s="15" t="n">
        <v>0</v>
      </c>
      <c r="F67" s="2"/>
    </row>
    <row r="68" customFormat="false" ht="15" hidden="false" customHeight="false" outlineLevel="0" collapsed="false">
      <c r="A68" s="10" t="s">
        <v>140</v>
      </c>
      <c r="B68" s="11" t="s">
        <v>141</v>
      </c>
      <c r="C68" s="14" t="n">
        <v>0</v>
      </c>
      <c r="D68" s="14" t="n">
        <v>0</v>
      </c>
      <c r="E68" s="15" t="n">
        <v>0</v>
      </c>
      <c r="F68" s="2"/>
    </row>
    <row r="69" customFormat="false" ht="15" hidden="false" customHeight="false" outlineLevel="0" collapsed="false">
      <c r="A69" s="19" t="s">
        <v>142</v>
      </c>
      <c r="C69" s="20" t="n">
        <f aca="false">C63*'Création site'!$D$49+C64*'Création site'!$D$50+C65*'Création site'!$D$51+C66*'Création site'!$D$52+C67*'Création site'!$D$53+C68*'Création site'!$D$54</f>
        <v>0</v>
      </c>
      <c r="D69" s="20" t="n">
        <f aca="false">D63*'Création site'!$D$49+D64*'Création site'!$D$50+D65*'Création site'!$D$51+D66*'Création site'!$D$52+D67*'Création site'!$D$53+D68*'Création site'!$D$54</f>
        <v>0</v>
      </c>
      <c r="E69" s="20" t="n">
        <f aca="false">E63*'Création site'!$D$49+E64*'Création site'!$D$50+E65*'Création site'!$D$51+E66*'Création site'!$D$52+E67*'Création site'!$D$53+E68*'Création site'!$D$54</f>
        <v>0</v>
      </c>
      <c r="F69" s="2"/>
    </row>
    <row r="71" customFormat="false" ht="15" hidden="false" customHeight="false" outlineLevel="0" collapsed="false">
      <c r="A71" s="8" t="s">
        <v>143</v>
      </c>
      <c r="B71" s="9"/>
      <c r="C71" s="9"/>
      <c r="D71" s="9"/>
      <c r="E71" s="9"/>
      <c r="F71" s="9"/>
    </row>
    <row r="72" customFormat="false" ht="15" hidden="false" customHeight="false" outlineLevel="0" collapsed="false">
      <c r="A72" s="10" t="s">
        <v>144</v>
      </c>
      <c r="B72" s="11" t="s">
        <v>145</v>
      </c>
      <c r="C72" s="14" t="n">
        <v>0</v>
      </c>
      <c r="D72" s="14" t="n">
        <v>0</v>
      </c>
      <c r="E72" s="15" t="n">
        <v>0</v>
      </c>
      <c r="F72" s="2"/>
    </row>
    <row r="73" customFormat="false" ht="15" hidden="false" customHeight="false" outlineLevel="0" collapsed="false">
      <c r="A73" s="10" t="s">
        <v>146</v>
      </c>
      <c r="B73" s="11" t="s">
        <v>147</v>
      </c>
      <c r="C73" s="14" t="n">
        <v>0</v>
      </c>
      <c r="D73" s="14" t="n">
        <v>0</v>
      </c>
      <c r="E73" s="15" t="n">
        <v>0</v>
      </c>
      <c r="F73" s="2"/>
    </row>
    <row r="74" customFormat="false" ht="15" hidden="false" customHeight="false" outlineLevel="0" collapsed="false">
      <c r="A74" s="10" t="s">
        <v>148</v>
      </c>
      <c r="B74" s="11" t="s">
        <v>149</v>
      </c>
      <c r="C74" s="14" t="n">
        <v>0</v>
      </c>
      <c r="D74" s="14" t="n">
        <v>0</v>
      </c>
      <c r="E74" s="15" t="n">
        <v>0</v>
      </c>
      <c r="F74" s="2"/>
    </row>
    <row r="75" customFormat="false" ht="15" hidden="false" customHeight="false" outlineLevel="0" collapsed="false">
      <c r="A75" s="10" t="s">
        <v>150</v>
      </c>
      <c r="B75" s="11" t="s">
        <v>151</v>
      </c>
      <c r="C75" s="14" t="n">
        <v>0</v>
      </c>
      <c r="D75" s="14" t="n">
        <v>0</v>
      </c>
      <c r="E75" s="15" t="n">
        <v>0</v>
      </c>
      <c r="F75" s="2"/>
    </row>
    <row r="76" customFormat="false" ht="15" hidden="false" customHeight="false" outlineLevel="0" collapsed="false">
      <c r="A76" s="10" t="s">
        <v>152</v>
      </c>
      <c r="B76" s="11" t="s">
        <v>153</v>
      </c>
      <c r="C76" s="14" t="n">
        <v>0</v>
      </c>
      <c r="D76" s="14" t="n">
        <v>0</v>
      </c>
      <c r="E76" s="15" t="n">
        <v>0</v>
      </c>
      <c r="F76" s="2"/>
    </row>
    <row r="77" customFormat="false" ht="15" hidden="false" customHeight="false" outlineLevel="0" collapsed="false">
      <c r="A77" s="10" t="s">
        <v>154</v>
      </c>
      <c r="B77" s="11" t="s">
        <v>155</v>
      </c>
      <c r="C77" s="14" t="n">
        <v>0</v>
      </c>
      <c r="D77" s="14" t="n">
        <v>0</v>
      </c>
      <c r="E77" s="15" t="n">
        <v>0</v>
      </c>
      <c r="F77" s="2"/>
    </row>
    <row r="78" customFormat="false" ht="15" hidden="false" customHeight="false" outlineLevel="0" collapsed="false">
      <c r="A78" s="10" t="s">
        <v>156</v>
      </c>
      <c r="B78" s="11" t="s">
        <v>157</v>
      </c>
      <c r="C78" s="14" t="n">
        <v>0</v>
      </c>
      <c r="D78" s="14" t="n">
        <v>0</v>
      </c>
      <c r="E78" s="15" t="n">
        <v>0</v>
      </c>
      <c r="F78" s="2"/>
    </row>
    <row r="79" customFormat="false" ht="15" hidden="false" customHeight="false" outlineLevel="0" collapsed="false">
      <c r="A79" s="10" t="s">
        <v>158</v>
      </c>
      <c r="B79" s="11" t="s">
        <v>159</v>
      </c>
      <c r="C79" s="14" t="n">
        <v>0</v>
      </c>
      <c r="D79" s="14" t="n">
        <v>0</v>
      </c>
      <c r="E79" s="15" t="n">
        <v>0</v>
      </c>
      <c r="F79" s="2"/>
    </row>
    <row r="80" customFormat="false" ht="15" hidden="false" customHeight="false" outlineLevel="0" collapsed="false">
      <c r="A80" s="10" t="s">
        <v>160</v>
      </c>
      <c r="B80" s="11" t="s">
        <v>161</v>
      </c>
      <c r="C80" s="14" t="n">
        <v>0</v>
      </c>
      <c r="D80" s="14" t="n">
        <v>0</v>
      </c>
      <c r="E80" s="15" t="n">
        <v>0</v>
      </c>
      <c r="F80" s="2"/>
    </row>
    <row r="81" customFormat="false" ht="15" hidden="false" customHeight="false" outlineLevel="0" collapsed="false">
      <c r="A81" s="10" t="s">
        <v>162</v>
      </c>
      <c r="B81" s="11" t="s">
        <v>163</v>
      </c>
      <c r="C81" s="14" t="n">
        <v>0</v>
      </c>
      <c r="D81" s="14" t="n">
        <v>0</v>
      </c>
      <c r="E81" s="15" t="n">
        <v>0</v>
      </c>
      <c r="F81" s="2"/>
    </row>
    <row r="82" customFormat="false" ht="15" hidden="false" customHeight="false" outlineLevel="0" collapsed="false">
      <c r="A82" s="10" t="s">
        <v>164</v>
      </c>
      <c r="B82" s="11" t="s">
        <v>165</v>
      </c>
      <c r="C82" s="14" t="n">
        <v>0</v>
      </c>
      <c r="D82" s="14" t="n">
        <v>0</v>
      </c>
      <c r="E82" s="15" t="n">
        <v>0</v>
      </c>
      <c r="F82" s="2"/>
    </row>
    <row r="83" customFormat="false" ht="15" hidden="false" customHeight="false" outlineLevel="0" collapsed="false">
      <c r="A83" s="10" t="s">
        <v>166</v>
      </c>
      <c r="B83" s="11" t="s">
        <v>167</v>
      </c>
      <c r="C83" s="14" t="n">
        <v>0</v>
      </c>
      <c r="D83" s="14" t="n">
        <v>0</v>
      </c>
      <c r="E83" s="15" t="n">
        <v>0</v>
      </c>
      <c r="F83" s="2"/>
    </row>
    <row r="84" customFormat="false" ht="15" hidden="false" customHeight="false" outlineLevel="0" collapsed="false">
      <c r="A84" s="10" t="s">
        <v>168</v>
      </c>
      <c r="B84" s="11" t="s">
        <v>169</v>
      </c>
      <c r="C84" s="14" t="n">
        <v>0</v>
      </c>
      <c r="D84" s="14" t="n">
        <v>0</v>
      </c>
      <c r="E84" s="15" t="n">
        <v>0</v>
      </c>
      <c r="F84" s="2"/>
    </row>
    <row r="85" customFormat="false" ht="15" hidden="false" customHeight="false" outlineLevel="0" collapsed="false">
      <c r="A85" s="19" t="s">
        <v>170</v>
      </c>
      <c r="C85" s="20" t="n">
        <f aca="false">C72*Référencement!$D$20+C73*Référencement!$D$21+C74*Référencement!$D$22+C75*Référencement!$D$23+C76*Référencement!$D$24+C77*Référencement!$D$25+C78*Référencement!$D$26+C79*Référencement!$D$27+C80*Référencement!$D$28+C81*Référencement!$D$29+C82*Référencement!$D$30+C83*Référencement!$D$31+C84*Référencement!$D$32</f>
        <v>0</v>
      </c>
      <c r="D85" s="20" t="n">
        <f aca="false">D72*Référencement!$D$20+D73*Référencement!$D$21+D74*Référencement!$D$22+D75*Référencement!$D$23+D76*Référencement!$D$24+D77*Référencement!$D$25+D78*Référencement!$D$26+D79*Référencement!$D$27+D80*Référencement!$D$28+D81*Référencement!$D$29+D82*Référencement!$D$30+D83*Référencement!$D$31+D84*Référencement!$D$32</f>
        <v>0</v>
      </c>
      <c r="E85" s="20" t="n">
        <f aca="false">E72*Référencement!$D$20+E73*Référencement!$D$21+E74*Référencement!$D$22+E75*Référencement!$D$23+E76*Référencement!$D$24+E77*Référencement!$D$25+E78*Référencement!$D$26+E79*Référencement!$D$27+E80*Référencement!$D$28+E81*Référencement!$D$29+E82*Référencement!$D$30+E83*Référencement!$D$31+E84*Référencement!$D$32</f>
        <v>0</v>
      </c>
      <c r="F85" s="2"/>
    </row>
    <row r="87" customFormat="false" ht="15" hidden="false" customHeight="false" outlineLevel="0" collapsed="false">
      <c r="A87" s="8" t="s">
        <v>171</v>
      </c>
      <c r="B87" s="9"/>
      <c r="C87" s="9"/>
      <c r="D87" s="9"/>
      <c r="E87" s="9"/>
      <c r="F87" s="9"/>
    </row>
    <row r="88" customFormat="false" ht="15" hidden="false" customHeight="false" outlineLevel="0" collapsed="false">
      <c r="A88" s="10" t="s">
        <v>172</v>
      </c>
      <c r="B88" s="11"/>
      <c r="C88" s="12" t="s">
        <v>173</v>
      </c>
      <c r="D88" s="12" t="s">
        <v>173</v>
      </c>
      <c r="E88" s="13" t="s">
        <v>173</v>
      </c>
      <c r="F88" s="2"/>
    </row>
    <row r="89" customFormat="false" ht="15" hidden="false" customHeight="false" outlineLevel="0" collapsed="false">
      <c r="A89" s="10" t="s">
        <v>174</v>
      </c>
      <c r="B89" s="11"/>
      <c r="C89" s="14" t="n">
        <v>0</v>
      </c>
      <c r="D89" s="14" t="n">
        <v>0</v>
      </c>
      <c r="E89" s="15" t="n">
        <v>0</v>
      </c>
      <c r="F89" s="2" t="s">
        <v>175</v>
      </c>
    </row>
    <row r="90" customFormat="false" ht="15" hidden="false" customHeight="false" outlineLevel="0" collapsed="false">
      <c r="A90" s="10" t="s">
        <v>176</v>
      </c>
      <c r="B90" s="11"/>
      <c r="C90" s="12" t="s">
        <v>173</v>
      </c>
      <c r="D90" s="12" t="s">
        <v>173</v>
      </c>
      <c r="E90" s="13" t="s">
        <v>173</v>
      </c>
      <c r="F90" s="2" t="s">
        <v>177</v>
      </c>
    </row>
    <row r="91" customFormat="false" ht="23.85" hidden="false" customHeight="false" outlineLevel="0" collapsed="false">
      <c r="A91" s="10" t="s">
        <v>178</v>
      </c>
      <c r="B91" s="11"/>
      <c r="C91" s="14" t="n">
        <v>0</v>
      </c>
      <c r="D91" s="14" t="n">
        <v>0</v>
      </c>
      <c r="E91" s="15" t="n">
        <v>0</v>
      </c>
      <c r="F91" s="2" t="s">
        <v>179</v>
      </c>
    </row>
    <row r="92" customFormat="false" ht="15" hidden="false" customHeight="false" outlineLevel="0" collapsed="false">
      <c r="A92" s="10" t="s">
        <v>180</v>
      </c>
      <c r="B92" s="11"/>
      <c r="C92" s="14" t="n">
        <v>0</v>
      </c>
      <c r="D92" s="14" t="n">
        <v>0</v>
      </c>
      <c r="E92" s="15" t="n">
        <v>0</v>
      </c>
      <c r="F92" s="2"/>
    </row>
    <row r="93" customFormat="false" ht="15" hidden="false" customHeight="false" outlineLevel="0" collapsed="false">
      <c r="A93" s="10" t="s">
        <v>181</v>
      </c>
      <c r="C93" s="18" t="n">
        <f aca="false">IF(C88="Oui",Boutique!$D$6+IF(C90="Oui",Boutique!$D$9,C89*Boutique!$D$8)+C91*Boutique!$D$10+MAX(0,C92-Paramètres!$B$19)*Boutique!$D$11,0)</f>
        <v>0</v>
      </c>
      <c r="D93" s="18" t="n">
        <f aca="false">IF(D88="Oui",Boutique!$D$6+IF(D90="Oui",Boutique!$D$9,D89*Boutique!$D$8)+D91*Boutique!$D$10+MAX(0,D92-Paramètres!$B$19)*Boutique!$D$11,0)</f>
        <v>0</v>
      </c>
      <c r="E93" s="18" t="n">
        <f aca="false">IF(E88="Oui",Boutique!$D$6+IF(E90="Oui",Boutique!$D$9,E89*Boutique!$D$8)+E91*Boutique!$D$10+MAX(0,E92-Paramètres!$B$19)*Boutique!$D$11,0)</f>
        <v>0</v>
      </c>
      <c r="F93" s="2"/>
    </row>
    <row r="95" customFormat="false" ht="15" hidden="false" customHeight="false" outlineLevel="0" collapsed="false">
      <c r="A95" s="8" t="s">
        <v>182</v>
      </c>
      <c r="B95" s="9"/>
      <c r="C95" s="9"/>
      <c r="D95" s="9"/>
      <c r="E95" s="9"/>
      <c r="F95" s="9"/>
    </row>
    <row r="96" customFormat="false" ht="15" hidden="false" customHeight="false" outlineLevel="0" collapsed="false">
      <c r="A96" s="10" t="s">
        <v>183</v>
      </c>
      <c r="B96" s="11" t="s">
        <v>184</v>
      </c>
      <c r="C96" s="14" t="n">
        <v>0</v>
      </c>
      <c r="D96" s="14" t="n">
        <v>0</v>
      </c>
      <c r="E96" s="15" t="n">
        <v>0</v>
      </c>
      <c r="F96" s="2"/>
    </row>
    <row r="97" customFormat="false" ht="15" hidden="false" customHeight="false" outlineLevel="0" collapsed="false">
      <c r="A97" s="10" t="s">
        <v>185</v>
      </c>
      <c r="B97" s="11" t="s">
        <v>186</v>
      </c>
      <c r="C97" s="14" t="n">
        <v>0</v>
      </c>
      <c r="D97" s="14" t="n">
        <v>0</v>
      </c>
      <c r="E97" s="15" t="n">
        <v>0</v>
      </c>
      <c r="F97" s="2"/>
    </row>
    <row r="98" customFormat="false" ht="15" hidden="false" customHeight="false" outlineLevel="0" collapsed="false">
      <c r="A98" s="10" t="s">
        <v>187</v>
      </c>
      <c r="B98" s="11" t="s">
        <v>188</v>
      </c>
      <c r="C98" s="14" t="n">
        <v>0</v>
      </c>
      <c r="D98" s="14" t="n">
        <v>0</v>
      </c>
      <c r="E98" s="15" t="n">
        <v>0</v>
      </c>
      <c r="F98" s="2"/>
    </row>
    <row r="99" customFormat="false" ht="15" hidden="false" customHeight="false" outlineLevel="0" collapsed="false">
      <c r="A99" s="10" t="s">
        <v>189</v>
      </c>
      <c r="B99" s="11" t="s">
        <v>190</v>
      </c>
      <c r="C99" s="14" t="n">
        <v>0</v>
      </c>
      <c r="D99" s="14" t="n">
        <v>0</v>
      </c>
      <c r="E99" s="15" t="n">
        <v>0</v>
      </c>
      <c r="F99" s="2"/>
    </row>
    <row r="100" customFormat="false" ht="15" hidden="false" customHeight="false" outlineLevel="0" collapsed="false">
      <c r="A100" s="10" t="s">
        <v>191</v>
      </c>
      <c r="B100" s="11" t="s">
        <v>192</v>
      </c>
      <c r="C100" s="14" t="n">
        <v>0</v>
      </c>
      <c r="D100" s="14" t="n">
        <v>0</v>
      </c>
      <c r="E100" s="15" t="n">
        <v>0</v>
      </c>
      <c r="F100" s="2"/>
    </row>
    <row r="101" customFormat="false" ht="15" hidden="false" customHeight="false" outlineLevel="0" collapsed="false">
      <c r="A101" s="10" t="s">
        <v>193</v>
      </c>
      <c r="B101" s="11" t="s">
        <v>194</v>
      </c>
      <c r="C101" s="14" t="n">
        <v>0</v>
      </c>
      <c r="D101" s="14" t="n">
        <v>0</v>
      </c>
      <c r="E101" s="15" t="n">
        <v>0</v>
      </c>
      <c r="F101" s="2"/>
    </row>
    <row r="102" customFormat="false" ht="15" hidden="false" customHeight="false" outlineLevel="0" collapsed="false">
      <c r="A102" s="10" t="s">
        <v>195</v>
      </c>
      <c r="B102" s="11" t="s">
        <v>196</v>
      </c>
      <c r="C102" s="14" t="n">
        <v>0</v>
      </c>
      <c r="D102" s="14" t="n">
        <v>0</v>
      </c>
      <c r="E102" s="15" t="n">
        <v>0</v>
      </c>
      <c r="F102" s="2"/>
    </row>
    <row r="103" customFormat="false" ht="15" hidden="false" customHeight="false" outlineLevel="0" collapsed="false">
      <c r="A103" s="10" t="s">
        <v>197</v>
      </c>
      <c r="B103" s="11" t="s">
        <v>198</v>
      </c>
      <c r="C103" s="14" t="n">
        <v>0</v>
      </c>
      <c r="D103" s="14" t="n">
        <v>0</v>
      </c>
      <c r="E103" s="15" t="n">
        <v>0</v>
      </c>
      <c r="F103" s="2"/>
    </row>
    <row r="104" customFormat="false" ht="15" hidden="false" customHeight="false" outlineLevel="0" collapsed="false">
      <c r="A104" s="10" t="s">
        <v>199</v>
      </c>
      <c r="B104" s="11" t="s">
        <v>200</v>
      </c>
      <c r="C104" s="14" t="n">
        <v>0</v>
      </c>
      <c r="D104" s="14" t="n">
        <v>0</v>
      </c>
      <c r="E104" s="15" t="n">
        <v>0</v>
      </c>
      <c r="F104" s="2"/>
    </row>
    <row r="105" customFormat="false" ht="15" hidden="false" customHeight="false" outlineLevel="0" collapsed="false">
      <c r="A105" s="10" t="s">
        <v>201</v>
      </c>
      <c r="B105" s="11" t="s">
        <v>202</v>
      </c>
      <c r="C105" s="14" t="n">
        <v>0</v>
      </c>
      <c r="D105" s="14" t="n">
        <v>0</v>
      </c>
      <c r="E105" s="15" t="n">
        <v>0</v>
      </c>
      <c r="F105" s="2"/>
    </row>
    <row r="106" customFormat="false" ht="15" hidden="false" customHeight="false" outlineLevel="0" collapsed="false">
      <c r="A106" s="19" t="s">
        <v>203</v>
      </c>
      <c r="C106" s="20" t="n">
        <f aca="false">C96*Boutique!$D$13+C97*Boutique!$D$14+C98*Boutique!$D$15+C99*Boutique!$D$16+C100*Boutique!$D$17+C101*Boutique!$D$18+C102*Boutique!$D$19+C103*Boutique!$D$20+C104*Boutique!$D$21+C105*Boutique!$D$22</f>
        <v>0</v>
      </c>
      <c r="D106" s="20" t="n">
        <f aca="false">D96*Boutique!$D$13+D97*Boutique!$D$14+D98*Boutique!$D$15+D99*Boutique!$D$16+D100*Boutique!$D$17+D101*Boutique!$D$18+D102*Boutique!$D$19+D103*Boutique!$D$20+D104*Boutique!$D$21+D105*Boutique!$D$22</f>
        <v>0</v>
      </c>
      <c r="E106" s="20" t="n">
        <f aca="false">E96*Boutique!$D$13+E97*Boutique!$D$14+E98*Boutique!$D$15+E99*Boutique!$D$16+E100*Boutique!$D$17+E101*Boutique!$D$18+E102*Boutique!$D$19+E103*Boutique!$D$20+E104*Boutique!$D$21+E105*Boutique!$D$22</f>
        <v>0</v>
      </c>
      <c r="F106" s="2"/>
    </row>
    <row r="108" customFormat="false" ht="15" hidden="false" customHeight="false" outlineLevel="0" collapsed="false">
      <c r="A108" s="8" t="s">
        <v>204</v>
      </c>
      <c r="B108" s="9"/>
      <c r="C108" s="9"/>
      <c r="D108" s="9"/>
      <c r="E108" s="9"/>
      <c r="F108" s="9"/>
    </row>
    <row r="109" customFormat="false" ht="15" hidden="false" customHeight="false" outlineLevel="0" collapsed="false">
      <c r="A109" s="10" t="s">
        <v>205</v>
      </c>
      <c r="B109" s="11"/>
      <c r="C109" s="12" t="s">
        <v>173</v>
      </c>
      <c r="D109" s="12" t="s">
        <v>173</v>
      </c>
      <c r="E109" s="13" t="s">
        <v>173</v>
      </c>
      <c r="F109" s="2"/>
    </row>
    <row r="110" customFormat="false" ht="15" hidden="false" customHeight="false" outlineLevel="0" collapsed="false">
      <c r="A110" s="10" t="s">
        <v>206</v>
      </c>
      <c r="B110" s="11"/>
      <c r="C110" s="14" t="n">
        <v>1</v>
      </c>
      <c r="D110" s="14" t="n">
        <v>1</v>
      </c>
      <c r="E110" s="15" t="n">
        <v>1</v>
      </c>
      <c r="F110" s="2"/>
    </row>
    <row r="111" customFormat="false" ht="15" hidden="false" customHeight="false" outlineLevel="0" collapsed="false">
      <c r="A111" s="10" t="s">
        <v>207</v>
      </c>
      <c r="C111" s="17" t="n">
        <f aca="false">INDEX('Outil de gestion'!$B$61:$B$64,MATCH(C110,'Outil de gestion'!$A$61:$A$64,1))</f>
        <v>0</v>
      </c>
      <c r="D111" s="17" t="n">
        <f aca="false">INDEX('Outil de gestion'!$B$61:$B$64,MATCH(D110,'Outil de gestion'!$A$61:$A$64,1))</f>
        <v>0</v>
      </c>
      <c r="E111" s="17" t="n">
        <f aca="false">INDEX('Outil de gestion'!$B$61:$B$64,MATCH(E110,'Outil de gestion'!$A$61:$A$64,1))</f>
        <v>0</v>
      </c>
      <c r="F111" s="2"/>
    </row>
    <row r="113" customFormat="false" ht="15" hidden="false" customHeight="false" outlineLevel="0" collapsed="false">
      <c r="A113" s="8" t="s">
        <v>208</v>
      </c>
      <c r="B113" s="9"/>
      <c r="C113" s="9"/>
      <c r="D113" s="9"/>
      <c r="E113" s="9"/>
      <c r="F113" s="9"/>
    </row>
    <row r="114" customFormat="false" ht="15" hidden="false" customHeight="false" outlineLevel="0" collapsed="false">
      <c r="A114" s="10" t="s">
        <v>209</v>
      </c>
      <c r="B114" s="11" t="s">
        <v>210</v>
      </c>
      <c r="C114" s="14" t="n">
        <v>0</v>
      </c>
      <c r="D114" s="14" t="n">
        <v>0</v>
      </c>
      <c r="E114" s="15" t="n">
        <v>0</v>
      </c>
      <c r="F114" s="2"/>
    </row>
    <row r="115" customFormat="false" ht="15" hidden="false" customHeight="false" outlineLevel="0" collapsed="false">
      <c r="A115" s="10" t="s">
        <v>211</v>
      </c>
      <c r="B115" s="11" t="s">
        <v>212</v>
      </c>
      <c r="C115" s="14" t="n">
        <v>0</v>
      </c>
      <c r="D115" s="14" t="n">
        <v>0</v>
      </c>
      <c r="E115" s="15" t="n">
        <v>0</v>
      </c>
      <c r="F115" s="2"/>
    </row>
    <row r="116" customFormat="false" ht="15" hidden="false" customHeight="false" outlineLevel="0" collapsed="false">
      <c r="A116" s="10" t="s">
        <v>213</v>
      </c>
      <c r="B116" s="11" t="s">
        <v>214</v>
      </c>
      <c r="C116" s="14" t="n">
        <v>0</v>
      </c>
      <c r="D116" s="14" t="n">
        <v>0</v>
      </c>
      <c r="E116" s="15" t="n">
        <v>0</v>
      </c>
      <c r="F116" s="2"/>
    </row>
    <row r="117" customFormat="false" ht="15" hidden="false" customHeight="false" outlineLevel="0" collapsed="false">
      <c r="A117" s="10" t="s">
        <v>215</v>
      </c>
      <c r="B117" s="11" t="s">
        <v>216</v>
      </c>
      <c r="C117" s="14" t="n">
        <v>0</v>
      </c>
      <c r="D117" s="14" t="n">
        <v>0</v>
      </c>
      <c r="E117" s="15" t="n">
        <v>0</v>
      </c>
      <c r="F117" s="2"/>
    </row>
    <row r="118" customFormat="false" ht="15" hidden="false" customHeight="false" outlineLevel="0" collapsed="false">
      <c r="A118" s="10" t="s">
        <v>217</v>
      </c>
      <c r="B118" s="11" t="s">
        <v>218</v>
      </c>
      <c r="C118" s="14" t="n">
        <v>0</v>
      </c>
      <c r="D118" s="14" t="n">
        <v>0</v>
      </c>
      <c r="E118" s="15" t="n">
        <v>0</v>
      </c>
      <c r="F118" s="2"/>
    </row>
    <row r="119" customFormat="false" ht="15" hidden="false" customHeight="false" outlineLevel="0" collapsed="false">
      <c r="A119" s="10" t="s">
        <v>219</v>
      </c>
      <c r="B119" s="11" t="s">
        <v>220</v>
      </c>
      <c r="C119" s="14" t="n">
        <v>0</v>
      </c>
      <c r="D119" s="14" t="n">
        <v>0</v>
      </c>
      <c r="E119" s="15" t="n">
        <v>0</v>
      </c>
      <c r="F119" s="2"/>
    </row>
    <row r="120" customFormat="false" ht="15" hidden="false" customHeight="false" outlineLevel="0" collapsed="false">
      <c r="A120" s="10" t="s">
        <v>221</v>
      </c>
      <c r="B120" s="11" t="s">
        <v>222</v>
      </c>
      <c r="C120" s="14" t="n">
        <v>0</v>
      </c>
      <c r="D120" s="14" t="n">
        <v>0</v>
      </c>
      <c r="E120" s="15" t="n">
        <v>0</v>
      </c>
      <c r="F120" s="2"/>
    </row>
    <row r="121" customFormat="false" ht="15" hidden="false" customHeight="false" outlineLevel="0" collapsed="false">
      <c r="A121" s="10" t="s">
        <v>223</v>
      </c>
      <c r="B121" s="11" t="s">
        <v>224</v>
      </c>
      <c r="C121" s="14" t="n">
        <v>0</v>
      </c>
      <c r="D121" s="14" t="n">
        <v>0</v>
      </c>
      <c r="E121" s="15" t="n">
        <v>0</v>
      </c>
      <c r="F121" s="2"/>
    </row>
    <row r="122" customFormat="false" ht="15" hidden="false" customHeight="false" outlineLevel="0" collapsed="false">
      <c r="A122" s="10" t="s">
        <v>225</v>
      </c>
      <c r="B122" s="11" t="s">
        <v>226</v>
      </c>
      <c r="C122" s="14" t="n">
        <v>0</v>
      </c>
      <c r="D122" s="14" t="n">
        <v>0</v>
      </c>
      <c r="E122" s="15" t="n">
        <v>0</v>
      </c>
      <c r="F122" s="2"/>
    </row>
    <row r="123" customFormat="false" ht="15" hidden="false" customHeight="false" outlineLevel="0" collapsed="false">
      <c r="A123" s="10" t="s">
        <v>227</v>
      </c>
      <c r="B123" s="11" t="s">
        <v>228</v>
      </c>
      <c r="C123" s="14" t="n">
        <v>0</v>
      </c>
      <c r="D123" s="14" t="n">
        <v>0</v>
      </c>
      <c r="E123" s="15" t="n">
        <v>0</v>
      </c>
      <c r="F123" s="2"/>
    </row>
    <row r="124" customFormat="false" ht="15" hidden="false" customHeight="false" outlineLevel="0" collapsed="false">
      <c r="A124" s="10" t="s">
        <v>229</v>
      </c>
      <c r="B124" s="11" t="s">
        <v>230</v>
      </c>
      <c r="C124" s="14" t="n">
        <v>0</v>
      </c>
      <c r="D124" s="14" t="n">
        <v>0</v>
      </c>
      <c r="E124" s="15" t="n">
        <v>0</v>
      </c>
      <c r="F124" s="2"/>
    </row>
    <row r="125" customFormat="false" ht="15" hidden="false" customHeight="false" outlineLevel="0" collapsed="false">
      <c r="A125" s="10" t="s">
        <v>231</v>
      </c>
      <c r="B125" s="11" t="s">
        <v>232</v>
      </c>
      <c r="C125" s="14" t="n">
        <v>0</v>
      </c>
      <c r="D125" s="14" t="n">
        <v>0</v>
      </c>
      <c r="E125" s="15" t="n">
        <v>0</v>
      </c>
      <c r="F125" s="2"/>
    </row>
    <row r="126" customFormat="false" ht="15" hidden="false" customHeight="false" outlineLevel="0" collapsed="false">
      <c r="A126" s="10" t="s">
        <v>233</v>
      </c>
      <c r="B126" s="11" t="s">
        <v>234</v>
      </c>
      <c r="C126" s="14" t="n">
        <v>0</v>
      </c>
      <c r="D126" s="14" t="n">
        <v>0</v>
      </c>
      <c r="E126" s="15" t="n">
        <v>0</v>
      </c>
      <c r="F126" s="2"/>
    </row>
    <row r="127" customFormat="false" ht="15" hidden="false" customHeight="false" outlineLevel="0" collapsed="false">
      <c r="A127" s="10" t="s">
        <v>235</v>
      </c>
      <c r="B127" s="11" t="s">
        <v>236</v>
      </c>
      <c r="C127" s="14" t="n">
        <v>0</v>
      </c>
      <c r="D127" s="14" t="n">
        <v>0</v>
      </c>
      <c r="E127" s="15" t="n">
        <v>0</v>
      </c>
      <c r="F127" s="2"/>
    </row>
    <row r="128" customFormat="false" ht="15" hidden="false" customHeight="false" outlineLevel="0" collapsed="false">
      <c r="A128" s="10" t="s">
        <v>237</v>
      </c>
      <c r="B128" s="11" t="s">
        <v>238</v>
      </c>
      <c r="C128" s="14" t="n">
        <v>0</v>
      </c>
      <c r="D128" s="14" t="n">
        <v>0</v>
      </c>
      <c r="E128" s="15" t="n">
        <v>0</v>
      </c>
      <c r="F128" s="2"/>
    </row>
    <row r="129" customFormat="false" ht="15" hidden="false" customHeight="false" outlineLevel="0" collapsed="false">
      <c r="A129" s="10" t="s">
        <v>239</v>
      </c>
      <c r="B129" s="11" t="s">
        <v>240</v>
      </c>
      <c r="C129" s="14" t="n">
        <v>0</v>
      </c>
      <c r="D129" s="14" t="n">
        <v>0</v>
      </c>
      <c r="E129" s="15" t="n">
        <v>0</v>
      </c>
      <c r="F129" s="2"/>
    </row>
    <row r="130" customFormat="false" ht="15" hidden="false" customHeight="false" outlineLevel="0" collapsed="false">
      <c r="A130" s="10" t="s">
        <v>241</v>
      </c>
      <c r="B130" s="11" t="s">
        <v>242</v>
      </c>
      <c r="C130" s="14" t="n">
        <v>0</v>
      </c>
      <c r="D130" s="14" t="n">
        <v>0</v>
      </c>
      <c r="E130" s="15" t="n">
        <v>0</v>
      </c>
      <c r="F130" s="2"/>
    </row>
    <row r="131" customFormat="false" ht="15" hidden="false" customHeight="false" outlineLevel="0" collapsed="false">
      <c r="A131" s="10" t="s">
        <v>243</v>
      </c>
      <c r="B131" s="11" t="s">
        <v>244</v>
      </c>
      <c r="C131" s="14" t="n">
        <v>0</v>
      </c>
      <c r="D131" s="14" t="n">
        <v>0</v>
      </c>
      <c r="E131" s="15" t="n">
        <v>0</v>
      </c>
      <c r="F131" s="2"/>
    </row>
    <row r="132" customFormat="false" ht="15" hidden="false" customHeight="false" outlineLevel="0" collapsed="false">
      <c r="A132" s="10" t="s">
        <v>245</v>
      </c>
      <c r="B132" s="11" t="s">
        <v>246</v>
      </c>
      <c r="C132" s="14" t="n">
        <v>0</v>
      </c>
      <c r="D132" s="14" t="n">
        <v>0</v>
      </c>
      <c r="E132" s="15" t="n">
        <v>0</v>
      </c>
      <c r="F132" s="2"/>
    </row>
    <row r="133" customFormat="false" ht="15" hidden="false" customHeight="false" outlineLevel="0" collapsed="false">
      <c r="A133" s="10" t="s">
        <v>247</v>
      </c>
      <c r="B133" s="11" t="s">
        <v>248</v>
      </c>
      <c r="C133" s="14" t="n">
        <v>0</v>
      </c>
      <c r="D133" s="14" t="n">
        <v>0</v>
      </c>
      <c r="E133" s="15" t="n">
        <v>0</v>
      </c>
      <c r="F133" s="2"/>
    </row>
    <row r="134" customFormat="false" ht="15" hidden="false" customHeight="false" outlineLevel="0" collapsed="false">
      <c r="A134" s="10" t="s">
        <v>249</v>
      </c>
      <c r="B134" s="11" t="s">
        <v>250</v>
      </c>
      <c r="C134" s="14" t="n">
        <v>0</v>
      </c>
      <c r="D134" s="14" t="n">
        <v>0</v>
      </c>
      <c r="E134" s="15" t="n">
        <v>0</v>
      </c>
      <c r="F134" s="2"/>
    </row>
    <row r="135" customFormat="false" ht="15" hidden="false" customHeight="false" outlineLevel="0" collapsed="false">
      <c r="A135" s="10" t="s">
        <v>251</v>
      </c>
      <c r="B135" s="11" t="s">
        <v>252</v>
      </c>
      <c r="C135" s="14" t="n">
        <v>0</v>
      </c>
      <c r="D135" s="14" t="n">
        <v>0</v>
      </c>
      <c r="E135" s="15" t="n">
        <v>0</v>
      </c>
      <c r="F135" s="2"/>
    </row>
    <row r="136" customFormat="false" ht="15" hidden="false" customHeight="false" outlineLevel="0" collapsed="false">
      <c r="A136" s="10" t="s">
        <v>253</v>
      </c>
      <c r="B136" s="11" t="s">
        <v>254</v>
      </c>
      <c r="C136" s="14" t="n">
        <v>0</v>
      </c>
      <c r="D136" s="14" t="n">
        <v>0</v>
      </c>
      <c r="E136" s="15" t="n">
        <v>0</v>
      </c>
      <c r="F136" s="2"/>
    </row>
    <row r="137" customFormat="false" ht="15" hidden="false" customHeight="false" outlineLevel="0" collapsed="false">
      <c r="A137" s="10" t="s">
        <v>255</v>
      </c>
      <c r="B137" s="11" t="s">
        <v>256</v>
      </c>
      <c r="C137" s="14" t="n">
        <v>0</v>
      </c>
      <c r="D137" s="14" t="n">
        <v>0</v>
      </c>
      <c r="E137" s="15" t="n">
        <v>0</v>
      </c>
      <c r="F137" s="2"/>
    </row>
    <row r="138" customFormat="false" ht="15" hidden="false" customHeight="false" outlineLevel="0" collapsed="false">
      <c r="A138" s="10" t="s">
        <v>257</v>
      </c>
      <c r="B138" s="11" t="s">
        <v>258</v>
      </c>
      <c r="C138" s="14" t="n">
        <v>0</v>
      </c>
      <c r="D138" s="14" t="n">
        <v>0</v>
      </c>
      <c r="E138" s="15" t="n">
        <v>0</v>
      </c>
      <c r="F138" s="2"/>
    </row>
    <row r="139" customFormat="false" ht="15" hidden="false" customHeight="false" outlineLevel="0" collapsed="false">
      <c r="A139" s="10" t="s">
        <v>259</v>
      </c>
      <c r="B139" s="11" t="s">
        <v>260</v>
      </c>
      <c r="C139" s="14" t="n">
        <v>0</v>
      </c>
      <c r="D139" s="14" t="n">
        <v>0</v>
      </c>
      <c r="E139" s="15" t="n">
        <v>0</v>
      </c>
      <c r="F139" s="2"/>
    </row>
    <row r="140" customFormat="false" ht="15" hidden="false" customHeight="false" outlineLevel="0" collapsed="false">
      <c r="A140" s="10" t="s">
        <v>261</v>
      </c>
      <c r="B140" s="11" t="s">
        <v>262</v>
      </c>
      <c r="C140" s="14" t="n">
        <v>0</v>
      </c>
      <c r="D140" s="14" t="n">
        <v>0</v>
      </c>
      <c r="E140" s="15" t="n">
        <v>0</v>
      </c>
      <c r="F140" s="2"/>
    </row>
    <row r="141" customFormat="false" ht="15" hidden="false" customHeight="false" outlineLevel="0" collapsed="false">
      <c r="A141" s="10" t="s">
        <v>263</v>
      </c>
      <c r="B141" s="11" t="s">
        <v>264</v>
      </c>
      <c r="C141" s="14" t="n">
        <v>0</v>
      </c>
      <c r="D141" s="14" t="n">
        <v>0</v>
      </c>
      <c r="E141" s="15" t="n">
        <v>0</v>
      </c>
      <c r="F141" s="2"/>
    </row>
    <row r="142" customFormat="false" ht="15" hidden="false" customHeight="false" outlineLevel="0" collapsed="false">
      <c r="A142" s="10" t="s">
        <v>265</v>
      </c>
      <c r="B142" s="11" t="s">
        <v>266</v>
      </c>
      <c r="C142" s="14" t="n">
        <v>0</v>
      </c>
      <c r="D142" s="14" t="n">
        <v>0</v>
      </c>
      <c r="E142" s="15" t="n">
        <v>0</v>
      </c>
      <c r="F142" s="2"/>
    </row>
    <row r="143" customFormat="false" ht="15" hidden="false" customHeight="false" outlineLevel="0" collapsed="false">
      <c r="A143" s="10" t="s">
        <v>267</v>
      </c>
      <c r="B143" s="11" t="s">
        <v>268</v>
      </c>
      <c r="C143" s="14" t="n">
        <v>0</v>
      </c>
      <c r="D143" s="14" t="n">
        <v>0</v>
      </c>
      <c r="E143" s="15" t="n">
        <v>0</v>
      </c>
      <c r="F143" s="2"/>
    </row>
    <row r="144" customFormat="false" ht="15" hidden="false" customHeight="false" outlineLevel="0" collapsed="false">
      <c r="A144" s="10" t="s">
        <v>269</v>
      </c>
      <c r="B144" s="11" t="s">
        <v>270</v>
      </c>
      <c r="C144" s="14" t="n">
        <v>0</v>
      </c>
      <c r="D144" s="14" t="n">
        <v>0</v>
      </c>
      <c r="E144" s="15" t="n">
        <v>0</v>
      </c>
      <c r="F144" s="2"/>
    </row>
    <row r="145" customFormat="false" ht="15" hidden="false" customHeight="false" outlineLevel="0" collapsed="false">
      <c r="A145" s="10" t="s">
        <v>271</v>
      </c>
      <c r="B145" s="11" t="s">
        <v>272</v>
      </c>
      <c r="C145" s="14" t="n">
        <v>0</v>
      </c>
      <c r="D145" s="14" t="n">
        <v>0</v>
      </c>
      <c r="E145" s="15" t="n">
        <v>0</v>
      </c>
      <c r="F145" s="2"/>
    </row>
    <row r="146" customFormat="false" ht="15" hidden="false" customHeight="false" outlineLevel="0" collapsed="false">
      <c r="A146" s="10" t="s">
        <v>273</v>
      </c>
      <c r="B146" s="11" t="s">
        <v>274</v>
      </c>
      <c r="C146" s="14" t="n">
        <v>0</v>
      </c>
      <c r="D146" s="14" t="n">
        <v>0</v>
      </c>
      <c r="E146" s="15" t="n">
        <v>0</v>
      </c>
      <c r="F146" s="2"/>
    </row>
    <row r="147" customFormat="false" ht="15" hidden="false" customHeight="false" outlineLevel="0" collapsed="false">
      <c r="A147" s="10" t="s">
        <v>275</v>
      </c>
      <c r="B147" s="11" t="s">
        <v>276</v>
      </c>
      <c r="C147" s="14" t="n">
        <v>0</v>
      </c>
      <c r="D147" s="14" t="n">
        <v>0</v>
      </c>
      <c r="E147" s="15" t="n">
        <v>0</v>
      </c>
      <c r="F147" s="2"/>
    </row>
    <row r="148" customFormat="false" ht="15" hidden="false" customHeight="false" outlineLevel="0" collapsed="false">
      <c r="A148" s="10" t="s">
        <v>277</v>
      </c>
      <c r="B148" s="11" t="s">
        <v>278</v>
      </c>
      <c r="C148" s="14" t="n">
        <v>0</v>
      </c>
      <c r="D148" s="14" t="n">
        <v>0</v>
      </c>
      <c r="E148" s="15" t="n">
        <v>0</v>
      </c>
      <c r="F148" s="2"/>
    </row>
    <row r="149" customFormat="false" ht="15" hidden="false" customHeight="false" outlineLevel="0" collapsed="false">
      <c r="A149" s="19" t="s">
        <v>279</v>
      </c>
      <c r="C149" s="20" t="n">
        <f aca="false">C114*'Outil de gestion'!$D$8+C115*'Outil de gestion'!$D$9+C116*'Outil de gestion'!$D$10+C117*'Outil de gestion'!$D$11+C118*'Outil de gestion'!$D$12+C119*'Outil de gestion'!$D$13+C120*'Outil de gestion'!$D$15+C121*'Outil de gestion'!$D$16+C122*'Outil de gestion'!$D$17+C123*'Outil de gestion'!$D$18+C124*'Outil de gestion'!$D$19+C125*'Outil de gestion'!$D$20+C126*'Outil de gestion'!$D$21+C127*'Outil de gestion'!$D$22+C128*'Outil de gestion'!$D$24+C129*'Outil de gestion'!$D$25+C130*'Outil de gestion'!$D$26+C131*'Outil de gestion'!$D$27+C132*'Outil de gestion'!$D$28+C133*'Outil de gestion'!$D$29+C134*'Outil de gestion'!$D$31+C135*'Outil de gestion'!$D$32+C136*'Outil de gestion'!$D$33+C137*'Outil de gestion'!$D$34+C138*'Outil de gestion'!$D$35+C139*'Outil de gestion'!$D$37+C140*'Outil de gestion'!$D$38+C141*'Outil de gestion'!$D$39+C142*'Outil de gestion'!$D$40+C143*'Outil de gestion'!$D$41+C144*'Outil de gestion'!$D$43+C145*'Outil de gestion'!$D$44+C146*'Outil de gestion'!$D$45+C147*'Outil de gestion'!$D$46+C148*'Outil de gestion'!$D$47</f>
        <v>0</v>
      </c>
      <c r="D149" s="20" t="n">
        <f aca="false">D114*'Outil de gestion'!$D$8+D115*'Outil de gestion'!$D$9+D116*'Outil de gestion'!$D$10+D117*'Outil de gestion'!$D$11+D118*'Outil de gestion'!$D$12+D119*'Outil de gestion'!$D$13+D120*'Outil de gestion'!$D$15+D121*'Outil de gestion'!$D$16+D122*'Outil de gestion'!$D$17+D123*'Outil de gestion'!$D$18+D124*'Outil de gestion'!$D$19+D125*'Outil de gestion'!$D$20+D126*'Outil de gestion'!$D$21+D127*'Outil de gestion'!$D$22+D128*'Outil de gestion'!$D$24+D129*'Outil de gestion'!$D$25+D130*'Outil de gestion'!$D$26+D131*'Outil de gestion'!$D$27+D132*'Outil de gestion'!$D$28+D133*'Outil de gestion'!$D$29+D134*'Outil de gestion'!$D$31+D135*'Outil de gestion'!$D$32+D136*'Outil de gestion'!$D$33+D137*'Outil de gestion'!$D$34+D138*'Outil de gestion'!$D$35+D139*'Outil de gestion'!$D$37+D140*'Outil de gestion'!$D$38+D141*'Outil de gestion'!$D$39+D142*'Outil de gestion'!$D$40+D143*'Outil de gestion'!$D$41+D144*'Outil de gestion'!$D$43+D145*'Outil de gestion'!$D$44+D146*'Outil de gestion'!$D$45+D147*'Outil de gestion'!$D$46+D148*'Outil de gestion'!$D$47</f>
        <v>0</v>
      </c>
      <c r="E149" s="20" t="n">
        <f aca="false">E114*'Outil de gestion'!$D$8+E115*'Outil de gestion'!$D$9+E116*'Outil de gestion'!$D$10+E117*'Outil de gestion'!$D$11+E118*'Outil de gestion'!$D$12+E119*'Outil de gestion'!$D$13+E120*'Outil de gestion'!$D$15+E121*'Outil de gestion'!$D$16+E122*'Outil de gestion'!$D$17+E123*'Outil de gestion'!$D$18+E124*'Outil de gestion'!$D$19+E125*'Outil de gestion'!$D$20+E126*'Outil de gestion'!$D$21+E127*'Outil de gestion'!$D$22+E128*'Outil de gestion'!$D$24+E129*'Outil de gestion'!$D$25+E130*'Outil de gestion'!$D$26+E131*'Outil de gestion'!$D$27+E132*'Outil de gestion'!$D$28+E133*'Outil de gestion'!$D$29+E134*'Outil de gestion'!$D$31+E135*'Outil de gestion'!$D$32+E136*'Outil de gestion'!$D$33+E137*'Outil de gestion'!$D$34+E138*'Outil de gestion'!$D$35+E139*'Outil de gestion'!$D$37+E140*'Outil de gestion'!$D$38+E141*'Outil de gestion'!$D$39+E142*'Outil de gestion'!$D$40+E143*'Outil de gestion'!$D$41+E144*'Outil de gestion'!$D$43+E145*'Outil de gestion'!$D$44+E146*'Outil de gestion'!$D$45+E147*'Outil de gestion'!$D$46+E148*'Outil de gestion'!$D$47</f>
        <v>0</v>
      </c>
      <c r="F149" s="2"/>
    </row>
    <row r="150" customFormat="false" ht="15" hidden="false" customHeight="false" outlineLevel="0" collapsed="false">
      <c r="A150" s="10" t="s">
        <v>280</v>
      </c>
      <c r="C150" s="16" t="n">
        <f aca="false">SUM(C114:C148)</f>
        <v>0</v>
      </c>
      <c r="D150" s="16" t="n">
        <f aca="false">SUM(D114:D148)</f>
        <v>0</v>
      </c>
      <c r="E150" s="16" t="n">
        <f aca="false">SUM(E114:E148)</f>
        <v>0</v>
      </c>
      <c r="F150" s="2"/>
    </row>
    <row r="151" customFormat="false" ht="15" hidden="false" customHeight="false" outlineLevel="0" collapsed="false">
      <c r="A151" s="19" t="s">
        <v>281</v>
      </c>
      <c r="C151" s="20" t="n">
        <f aca="false">IF(C109="Oui",'Outil de gestion'!$D$6+C149*(1+C111),0)</f>
        <v>0</v>
      </c>
      <c r="D151" s="20" t="n">
        <f aca="false">IF(D109="Oui",'Outil de gestion'!$D$6+D149*(1+D111),0)</f>
        <v>0</v>
      </c>
      <c r="E151" s="20" t="n">
        <f aca="false">IF(E109="Oui",'Outil de gestion'!$D$6+E149*(1+E111),0)</f>
        <v>0</v>
      </c>
      <c r="F151" s="2"/>
    </row>
    <row r="153" customFormat="false" ht="15" hidden="false" customHeight="false" outlineLevel="0" collapsed="false">
      <c r="A153" s="8" t="s">
        <v>282</v>
      </c>
      <c r="B153" s="9"/>
      <c r="C153" s="9"/>
      <c r="D153" s="9"/>
      <c r="E153" s="9"/>
      <c r="F153" s="9"/>
    </row>
    <row r="154" customFormat="false" ht="15" hidden="false" customHeight="false" outlineLevel="0" collapsed="false">
      <c r="A154" s="10" t="s">
        <v>283</v>
      </c>
      <c r="B154" s="11" t="s">
        <v>284</v>
      </c>
      <c r="C154" s="14" t="n">
        <v>0</v>
      </c>
      <c r="D154" s="14" t="n">
        <v>0</v>
      </c>
      <c r="E154" s="15" t="n">
        <v>0</v>
      </c>
      <c r="F154" s="2"/>
    </row>
    <row r="155" customFormat="false" ht="15" hidden="false" customHeight="false" outlineLevel="0" collapsed="false">
      <c r="A155" s="10" t="s">
        <v>285</v>
      </c>
      <c r="B155" s="11" t="s">
        <v>286</v>
      </c>
      <c r="C155" s="14" t="n">
        <v>0</v>
      </c>
      <c r="D155" s="14" t="n">
        <v>0</v>
      </c>
      <c r="E155" s="15" t="n">
        <v>0</v>
      </c>
      <c r="F155" s="2"/>
    </row>
    <row r="156" customFormat="false" ht="15" hidden="false" customHeight="false" outlineLevel="0" collapsed="false">
      <c r="A156" s="10" t="s">
        <v>287</v>
      </c>
      <c r="B156" s="11" t="s">
        <v>288</v>
      </c>
      <c r="C156" s="14" t="n">
        <v>0</v>
      </c>
      <c r="D156" s="14" t="n">
        <v>0</v>
      </c>
      <c r="E156" s="15" t="n">
        <v>0</v>
      </c>
      <c r="F156" s="2"/>
    </row>
    <row r="157" customFormat="false" ht="15" hidden="false" customHeight="false" outlineLevel="0" collapsed="false">
      <c r="A157" s="10" t="s">
        <v>289</v>
      </c>
      <c r="B157" s="11" t="s">
        <v>290</v>
      </c>
      <c r="C157" s="14" t="n">
        <v>0</v>
      </c>
      <c r="D157" s="14" t="n">
        <v>0</v>
      </c>
      <c r="E157" s="15" t="n">
        <v>0</v>
      </c>
      <c r="F157" s="2"/>
    </row>
    <row r="158" customFormat="false" ht="15" hidden="false" customHeight="false" outlineLevel="0" collapsed="false">
      <c r="A158" s="10" t="s">
        <v>291</v>
      </c>
      <c r="B158" s="11" t="s">
        <v>292</v>
      </c>
      <c r="C158" s="14" t="n">
        <v>0</v>
      </c>
      <c r="D158" s="14" t="n">
        <v>0</v>
      </c>
      <c r="E158" s="15" t="n">
        <v>0</v>
      </c>
      <c r="F158" s="2"/>
    </row>
    <row r="159" customFormat="false" ht="15" hidden="false" customHeight="false" outlineLevel="0" collapsed="false">
      <c r="A159" s="10" t="s">
        <v>293</v>
      </c>
      <c r="B159" s="11" t="s">
        <v>294</v>
      </c>
      <c r="C159" s="14" t="n">
        <v>0</v>
      </c>
      <c r="D159" s="14" t="n">
        <v>0</v>
      </c>
      <c r="E159" s="15" t="n">
        <v>0</v>
      </c>
      <c r="F159" s="2"/>
    </row>
    <row r="160" customFormat="false" ht="15" hidden="false" customHeight="false" outlineLevel="0" collapsed="false">
      <c r="A160" s="10" t="s">
        <v>295</v>
      </c>
      <c r="B160" s="11" t="s">
        <v>296</v>
      </c>
      <c r="C160" s="14" t="n">
        <v>0</v>
      </c>
      <c r="D160" s="14" t="n">
        <v>0</v>
      </c>
      <c r="E160" s="15" t="n">
        <v>0</v>
      </c>
      <c r="F160" s="2"/>
    </row>
    <row r="161" customFormat="false" ht="15" hidden="false" customHeight="false" outlineLevel="0" collapsed="false">
      <c r="A161" s="10" t="s">
        <v>297</v>
      </c>
      <c r="B161" s="11" t="s">
        <v>298</v>
      </c>
      <c r="C161" s="14" t="n">
        <v>0</v>
      </c>
      <c r="D161" s="14" t="n">
        <v>0</v>
      </c>
      <c r="E161" s="15" t="n">
        <v>0</v>
      </c>
      <c r="F161" s="2"/>
    </row>
    <row r="162" customFormat="false" ht="15" hidden="false" customHeight="false" outlineLevel="0" collapsed="false">
      <c r="A162" s="10" t="s">
        <v>299</v>
      </c>
      <c r="B162" s="11" t="s">
        <v>300</v>
      </c>
      <c r="C162" s="14" t="n">
        <v>0</v>
      </c>
      <c r="D162" s="14" t="n">
        <v>0</v>
      </c>
      <c r="E162" s="15" t="n">
        <v>0</v>
      </c>
      <c r="F162" s="2"/>
    </row>
    <row r="163" customFormat="false" ht="15" hidden="false" customHeight="false" outlineLevel="0" collapsed="false">
      <c r="A163" s="19" t="s">
        <v>301</v>
      </c>
      <c r="C163" s="20" t="n">
        <f aca="false">C154*'Outil de gestion'!$D$49+C155*'Outil de gestion'!$D$50+C156*'Outil de gestion'!$D$51+C157*'Outil de gestion'!$D$52+C158*'Outil de gestion'!$D$53+C159*'Outil de gestion'!$D$54+C160*'Outil de gestion'!$D$55+C161*'Outil de gestion'!$D$56+C162*'Outil de gestion'!$D$57</f>
        <v>0</v>
      </c>
      <c r="D163" s="20" t="n">
        <f aca="false">D154*'Outil de gestion'!$D$49+D155*'Outil de gestion'!$D$50+D156*'Outil de gestion'!$D$51+D157*'Outil de gestion'!$D$52+D158*'Outil de gestion'!$D$53+D159*'Outil de gestion'!$D$54+D160*'Outil de gestion'!$D$55+D161*'Outil de gestion'!$D$56+D162*'Outil de gestion'!$D$57</f>
        <v>0</v>
      </c>
      <c r="E163" s="20" t="n">
        <f aca="false">E154*'Outil de gestion'!$D$49+E155*'Outil de gestion'!$D$50+E156*'Outil de gestion'!$D$51+E157*'Outil de gestion'!$D$52+E158*'Outil de gestion'!$D$53+E159*'Outil de gestion'!$D$54+E160*'Outil de gestion'!$D$55+E161*'Outil de gestion'!$D$56+E162*'Outil de gestion'!$D$57</f>
        <v>0</v>
      </c>
      <c r="F163" s="2"/>
    </row>
    <row r="165" customFormat="false" ht="15" hidden="false" customHeight="false" outlineLevel="0" collapsed="false">
      <c r="A165" s="8" t="s">
        <v>302</v>
      </c>
      <c r="B165" s="9"/>
      <c r="C165" s="9"/>
      <c r="D165" s="9"/>
      <c r="E165" s="9"/>
      <c r="F165" s="9"/>
    </row>
    <row r="166" customFormat="false" ht="15" hidden="false" customHeight="false" outlineLevel="0" collapsed="false">
      <c r="A166" s="10" t="s">
        <v>303</v>
      </c>
      <c r="B166" s="11" t="s">
        <v>304</v>
      </c>
      <c r="C166" s="14" t="n">
        <v>0</v>
      </c>
      <c r="D166" s="14" t="n">
        <v>0</v>
      </c>
      <c r="E166" s="15" t="n">
        <v>0</v>
      </c>
      <c r="F166" s="2"/>
    </row>
    <row r="167" customFormat="false" ht="15" hidden="false" customHeight="false" outlineLevel="0" collapsed="false">
      <c r="A167" s="10" t="s">
        <v>305</v>
      </c>
      <c r="B167" s="11" t="s">
        <v>306</v>
      </c>
      <c r="C167" s="14" t="n">
        <v>0</v>
      </c>
      <c r="D167" s="14" t="n">
        <v>0</v>
      </c>
      <c r="E167" s="15" t="n">
        <v>0</v>
      </c>
      <c r="F167" s="2"/>
    </row>
    <row r="168" customFormat="false" ht="15" hidden="false" customHeight="false" outlineLevel="0" collapsed="false">
      <c r="A168" s="10" t="s">
        <v>307</v>
      </c>
      <c r="B168" s="11"/>
      <c r="C168" s="12" t="s">
        <v>173</v>
      </c>
      <c r="D168" s="12" t="s">
        <v>173</v>
      </c>
      <c r="E168" s="13" t="s">
        <v>173</v>
      </c>
      <c r="F168" s="2"/>
    </row>
    <row r="169" customFormat="false" ht="15" hidden="false" customHeight="false" outlineLevel="0" collapsed="false">
      <c r="A169" s="10" t="s">
        <v>308</v>
      </c>
      <c r="B169" s="11"/>
      <c r="C169" s="21" t="n">
        <v>0</v>
      </c>
      <c r="D169" s="21" t="n">
        <v>0</v>
      </c>
      <c r="E169" s="22" t="n">
        <v>0</v>
      </c>
      <c r="F169" s="2" t="s">
        <v>309</v>
      </c>
    </row>
    <row r="171" customFormat="false" ht="15" hidden="false" customHeight="false" outlineLevel="0" collapsed="false">
      <c r="A171" s="8" t="s">
        <v>310</v>
      </c>
      <c r="B171" s="9"/>
      <c r="C171" s="9"/>
      <c r="D171" s="9"/>
      <c r="E171" s="9"/>
      <c r="F171" s="9"/>
    </row>
    <row r="172" customFormat="false" ht="15" hidden="false" customHeight="false" outlineLevel="0" collapsed="false">
      <c r="A172" s="10" t="s">
        <v>311</v>
      </c>
      <c r="C172" s="18" t="n">
        <f aca="false">C15+C16+C17+C18+C24+C25+C85+C47+C60+C69+C93+C106+C151+C163+C166*'Parcours client'!$D$11+C167*'Parcours client'!$D$14</f>
        <v>4045.37931034483</v>
      </c>
      <c r="D172" s="18" t="n">
        <f aca="false">D15+D16+D17+D18+D24+D25+D85+D47+D60+D69+D93+D106+D151+D163+D166*'Parcours client'!$D$11+D167*'Parcours client'!$D$14</f>
        <v>4132</v>
      </c>
      <c r="E172" s="18" t="n">
        <f aca="false">E15+E16+E17+E18+E24+E25+E85+E47+E60+E69+E93+E106+E151+E163+E166*'Parcours client'!$D$11+E167*'Parcours client'!$D$14</f>
        <v>500</v>
      </c>
      <c r="F172" s="2"/>
    </row>
    <row r="173" customFormat="false" ht="15" hidden="false" customHeight="false" outlineLevel="0" collapsed="false">
      <c r="A173" s="10" t="s">
        <v>312</v>
      </c>
      <c r="C173" s="18" t="n">
        <f aca="false">C172*Paramètres!$B$6*IF(C168="Oui",1+Paramètres!$B$15,1)*(1-C169)</f>
        <v>4045.37931034483</v>
      </c>
      <c r="D173" s="18" t="n">
        <f aca="false">D172*Paramètres!$B$6*IF(D168="Oui",1+Paramètres!$B$15,1)*(1-D169)</f>
        <v>4132</v>
      </c>
      <c r="E173" s="18" t="n">
        <f aca="false">E172*Paramètres!$B$6*IF(E168="Oui",1+Paramètres!$B$15,1)*(1-E169)</f>
        <v>500</v>
      </c>
      <c r="F173" s="2"/>
    </row>
    <row r="174" customFormat="false" ht="15" hidden="false" customHeight="false" outlineLevel="0" collapsed="false">
      <c r="A174" s="23" t="s">
        <v>313</v>
      </c>
      <c r="C174" s="24" t="n">
        <f aca="false">ROUND(C173/Paramètres!$B$9,0)*Paramètres!$B$9</f>
        <v>4050</v>
      </c>
      <c r="D174" s="24" t="n">
        <f aca="false">ROUND(D173/Paramètres!$B$9,0)*Paramètres!$B$9</f>
        <v>4130</v>
      </c>
      <c r="E174" s="24" t="n">
        <f aca="false">ROUND(E173/Paramètres!$B$9,0)*Paramètres!$B$9</f>
        <v>500</v>
      </c>
      <c r="F174" s="2"/>
    </row>
    <row r="175" customFormat="false" ht="15" hidden="false" customHeight="false" outlineLevel="0" collapsed="false">
      <c r="A175" s="10" t="s">
        <v>314</v>
      </c>
      <c r="C175" s="18" t="n">
        <f aca="false">ROUND(C174*Paramètres!$B$14,0)</f>
        <v>1620</v>
      </c>
      <c r="D175" s="18" t="n">
        <f aca="false">ROUND(D174*Paramètres!$B$14,0)</f>
        <v>1652</v>
      </c>
      <c r="E175" s="18" t="n">
        <f aca="false">ROUND(E174*Paramètres!$B$14,0)</f>
        <v>200</v>
      </c>
      <c r="F175" s="2"/>
    </row>
    <row r="176" customFormat="false" ht="15" hidden="false" customHeight="false" outlineLevel="0" collapsed="false">
      <c r="A176" s="25" t="s">
        <v>315</v>
      </c>
      <c r="C176" s="26" t="n">
        <f aca="false">ROUND(C174*Paramètres!$B$7/Paramètres!$B$9,0)*Paramètres!$B$9</f>
        <v>3650</v>
      </c>
      <c r="D176" s="26" t="n">
        <f aca="false">ROUND(D174*Paramètres!$B$7/Paramètres!$B$9,0)*Paramètres!$B$9</f>
        <v>3720</v>
      </c>
      <c r="E176" s="26" t="n">
        <f aca="false">ROUND(E174*Paramètres!$B$7/Paramètres!$B$9,0)*Paramètres!$B$9</f>
        <v>450</v>
      </c>
      <c r="F176" s="2"/>
    </row>
    <row r="177" customFormat="false" ht="15" hidden="false" customHeight="false" outlineLevel="0" collapsed="false">
      <c r="A177" s="25" t="s">
        <v>316</v>
      </c>
      <c r="C177" s="26" t="n">
        <f aca="false">ROUND(C174*Paramètres!$B$8/Paramètres!$B$9,0)*Paramètres!$B$9</f>
        <v>4660</v>
      </c>
      <c r="D177" s="26" t="n">
        <f aca="false">ROUND(D174*Paramètres!$B$8/Paramètres!$B$9,0)*Paramètres!$B$9</f>
        <v>4750</v>
      </c>
      <c r="E177" s="26" t="n">
        <f aca="false">ROUND(E174*Paramètres!$B$8/Paramètres!$B$9,0)*Paramètres!$B$9</f>
        <v>580</v>
      </c>
      <c r="F177" s="2"/>
    </row>
    <row r="178" customFormat="false" ht="15" hidden="false" customHeight="false" outlineLevel="0" collapsed="false">
      <c r="A178" s="10" t="s">
        <v>317</v>
      </c>
      <c r="C178" s="27" t="str">
        <f aca="false">IF(C174&gt;=Paramètres!$B$18,"Oui","Non")</f>
        <v>Oui</v>
      </c>
      <c r="D178" s="27" t="str">
        <f aca="false">IF(D174&gt;=Paramètres!$B$18,"Oui","Non")</f>
        <v>Oui</v>
      </c>
      <c r="E178" s="27" t="str">
        <f aca="false">IF(E174&gt;=Paramètres!$B$18,"Oui","Non")</f>
        <v>Non</v>
      </c>
      <c r="F178" s="2"/>
    </row>
    <row r="180" customFormat="false" ht="15" hidden="false" customHeight="false" outlineLevel="0" collapsed="false">
      <c r="A180" s="8" t="s">
        <v>318</v>
      </c>
      <c r="B180" s="9"/>
      <c r="C180" s="9"/>
      <c r="D180" s="9"/>
      <c r="E180" s="9"/>
      <c r="F180" s="9"/>
    </row>
    <row r="181" customFormat="false" ht="15" hidden="false" customHeight="false" outlineLevel="0" collapsed="false">
      <c r="A181" s="10" t="s">
        <v>319</v>
      </c>
      <c r="C181" s="28" t="n">
        <f aca="false">'Création site'!$E$14+INDEX('Création site'!$E$6:$E$10,MATCH(C7,'Création site'!$A$6:$A$10,0))+C14*(C8*'Création site'!$G$7+C9*'Création site'!$G$8+C10*'Création site'!$G$9+C11*'Création site'!$G$10)+C12*'Création site'!$E$15+INDEX(Référencement!$E$6:$E$10,MATCH(C21,Référencement!$A$6:$A$10,0))+C23*INDEX(Référencement!$G$6:$G$10,MATCH(C21,Référencement!$A$6:$A$10,0))+C12*INDEX(Référencement!$I$6:$I$10,MATCH(C21,Référencement!$A$6:$A$10,0))+INDEX(Référencement!$E$14:$E$16,MATCH(C22,Référencement!$A$14:$A$16,0))+C23*INDEX(Référencement!$G$14:$G$16,MATCH(C22,Référencement!$A$14:$A$16,0))+C28*'Création site'!$E$18+C29*'Création site'!$E$19+C30*'Création site'!$E$20+C31*'Création site'!$E$21+C32*'Création site'!$E$22+C33*'Création site'!$E$23+C34*'Création site'!$E$24+C35*'Création site'!$E$25+C36*'Création site'!$E$26+C37*'Création site'!$E$27+C38*'Création site'!$E$28+C39*'Création site'!$E$29+C40*'Création site'!$E$30+C41*'Création site'!$E$31+C42*'Création site'!$E$32+C43*'Création site'!$E$33+C44*'Création site'!$E$34+C45*'Création site'!$E$35+C46*'Création site'!$E$36+C50*'Création site'!$E$38+C51*'Création site'!$E$39+C52*'Création site'!$E$40+C53*'Création site'!$E$41+C54*'Création site'!$E$42+C55*'Création site'!$E$43+C56*'Création site'!$E$44+C57*'Création site'!$E$45+C58*'Création site'!$E$46+C59*'Création site'!$E$47+C63*'Création site'!$E$49+C64*'Création site'!$E$50+C65*'Création site'!$E$51+C66*'Création site'!$E$52+C67*'Création site'!$E$53+C68*'Création site'!$E$54+C72*Référencement!$E$20+C73*Référencement!$E$21+C74*Référencement!$E$22+C75*Référencement!$E$23+C76*Référencement!$E$24+C77*Référencement!$E$25+C78*Référencement!$E$26+C79*Référencement!$E$27+C80*Référencement!$E$28+C81*Référencement!$E$29+C82*Référencement!$E$30+C83*Référencement!$E$31+C84*Référencement!$E$32+C96*Boutique!$E$13+C97*Boutique!$E$14+C98*Boutique!$E$15+C99*Boutique!$E$16+C100*Boutique!$E$17+C101*Boutique!$E$18+C102*Boutique!$E$19+C103*Boutique!$E$20+C104*Boutique!$E$21+C105*Boutique!$E$22+C154*'Outil de gestion'!$E$49+C155*'Outil de gestion'!$E$50+C156*'Outil de gestion'!$E$51+C157*'Outil de gestion'!$E$52+C158*'Outil de gestion'!$E$53+C159*'Outil de gestion'!$E$54+C160*'Outil de gestion'!$E$55+C161*'Outil de gestion'!$E$56+C162*'Outil de gestion'!$E$57+IF(C88="Oui",Boutique!$E$6+IF(C90="Oui",Boutique!$E$9,C89*Boutique!$E$8),0)+IF(C109="Oui",'Outil de gestion'!$E$6,0)+C114*'Outil de gestion'!$E$8+C115*'Outil de gestion'!$E$9+C116*'Outil de gestion'!$E$10+C117*'Outil de gestion'!$E$11+C118*'Outil de gestion'!$E$12+C119*'Outil de gestion'!$E$13+C120*'Outil de gestion'!$E$15+C121*'Outil de gestion'!$E$16+C122*'Outil de gestion'!$E$17+C123*'Outil de gestion'!$E$18+C124*'Outil de gestion'!$E$19+C125*'Outil de gestion'!$E$20+C126*'Outil de gestion'!$E$21+C127*'Outil de gestion'!$E$22+C128*'Outil de gestion'!$E$24+C129*'Outil de gestion'!$E$25+C130*'Outil de gestion'!$E$26+C131*'Outil de gestion'!$E$27+C132*'Outil de gestion'!$E$28+C133*'Outil de gestion'!$E$29+C134*'Outil de gestion'!$E$31+C135*'Outil de gestion'!$E$32+C136*'Outil de gestion'!$E$33+C137*'Outil de gestion'!$E$34+C138*'Outil de gestion'!$E$35+C139*'Outil de gestion'!$E$37+C140*'Outil de gestion'!$E$38+C141*'Outil de gestion'!$E$39+C142*'Outil de gestion'!$E$40+C143*'Outil de gestion'!$E$41+C144*'Outil de gestion'!$E$43+C145*'Outil de gestion'!$E$44+C146*'Outil de gestion'!$E$45+C147*'Outil de gestion'!$E$46+C148*'Outil de gestion'!$E$47+C166</f>
        <v>74.5706896551724</v>
      </c>
      <c r="D181" s="28" t="n">
        <f aca="false">'Création site'!$E$14+INDEX('Création site'!$E$6:$E$10,MATCH(D7,'Création site'!$A$6:$A$10,0))+D14*(D8*'Création site'!$G$7+D9*'Création site'!$G$8+D10*'Création site'!$G$9+D11*'Création site'!$G$10)+D12*'Création site'!$E$15+INDEX(Référencement!$E$6:$E$10,MATCH(D21,Référencement!$A$6:$A$10,0))+D23*INDEX(Référencement!$G$6:$G$10,MATCH(D21,Référencement!$A$6:$A$10,0))+D12*INDEX(Référencement!$I$6:$I$10,MATCH(D21,Référencement!$A$6:$A$10,0))+INDEX(Référencement!$E$14:$E$16,MATCH(D22,Référencement!$A$14:$A$16,0))+D23*INDEX(Référencement!$G$14:$G$16,MATCH(D22,Référencement!$A$14:$A$16,0))+D28*'Création site'!$E$18+D29*'Création site'!$E$19+D30*'Création site'!$E$20+D31*'Création site'!$E$21+D32*'Création site'!$E$22+D33*'Création site'!$E$23+D34*'Création site'!$E$24+D35*'Création site'!$E$25+D36*'Création site'!$E$26+D37*'Création site'!$E$27+D38*'Création site'!$E$28+D39*'Création site'!$E$29+D40*'Création site'!$E$30+D41*'Création site'!$E$31+D42*'Création site'!$E$32+D43*'Création site'!$E$33+D44*'Création site'!$E$34+D45*'Création site'!$E$35+D46*'Création site'!$E$36+D50*'Création site'!$E$38+D51*'Création site'!$E$39+D52*'Création site'!$E$40+D53*'Création site'!$E$41+D54*'Création site'!$E$42+D55*'Création site'!$E$43+D56*'Création site'!$E$44+D57*'Création site'!$E$45+D58*'Création site'!$E$46+D59*'Création site'!$E$47+D63*'Création site'!$E$49+D64*'Création site'!$E$50+D65*'Création site'!$E$51+D66*'Création site'!$E$52+D67*'Création site'!$E$53+D68*'Création site'!$E$54+D72*Référencement!$E$20+D73*Référencement!$E$21+D74*Référencement!$E$22+D75*Référencement!$E$23+D76*Référencement!$E$24+D77*Référencement!$E$25+D78*Référencement!$E$26+D79*Référencement!$E$27+D80*Référencement!$E$28+D81*Référencement!$E$29+D82*Référencement!$E$30+D83*Référencement!$E$31+D84*Référencement!$E$32+D96*Boutique!$E$13+D97*Boutique!$E$14+D98*Boutique!$E$15+D99*Boutique!$E$16+D100*Boutique!$E$17+D101*Boutique!$E$18+D102*Boutique!$E$19+D103*Boutique!$E$20+D104*Boutique!$E$21+D105*Boutique!$E$22+D154*'Outil de gestion'!$E$49+D155*'Outil de gestion'!$E$50+D156*'Outil de gestion'!$E$51+D157*'Outil de gestion'!$E$52+D158*'Outil de gestion'!$E$53+D159*'Outil de gestion'!$E$54+D160*'Outil de gestion'!$E$55+D161*'Outil de gestion'!$E$56+D162*'Outil de gestion'!$E$57+IF(D88="Oui",Boutique!$E$6+IF(D90="Oui",Boutique!$E$9,D89*Boutique!$E$8),0)+IF(D109="Oui",'Outil de gestion'!$E$6,0)+D114*'Outil de gestion'!$E$8+D115*'Outil de gestion'!$E$9+D116*'Outil de gestion'!$E$10+D117*'Outil de gestion'!$E$11+D118*'Outil de gestion'!$E$12+D119*'Outil de gestion'!$E$13+D120*'Outil de gestion'!$E$15+D121*'Outil de gestion'!$E$16+D122*'Outil de gestion'!$E$17+D123*'Outil de gestion'!$E$18+D124*'Outil de gestion'!$E$19+D125*'Outil de gestion'!$E$20+D126*'Outil de gestion'!$E$21+D127*'Outil de gestion'!$E$22+D128*'Outil de gestion'!$E$24+D129*'Outil de gestion'!$E$25+D130*'Outil de gestion'!$E$26+D131*'Outil de gestion'!$E$27+D132*'Outil de gestion'!$E$28+D133*'Outil de gestion'!$E$29+D134*'Outil de gestion'!$E$31+D135*'Outil de gestion'!$E$32+D136*'Outil de gestion'!$E$33+D137*'Outil de gestion'!$E$34+D138*'Outil de gestion'!$E$35+D139*'Outil de gestion'!$E$37+D140*'Outil de gestion'!$E$38+D141*'Outil de gestion'!$E$39+D142*'Outil de gestion'!$E$40+D143*'Outil de gestion'!$E$41+D144*'Outil de gestion'!$E$43+D145*'Outil de gestion'!$E$44+D146*'Outil de gestion'!$E$45+D147*'Outil de gestion'!$E$46+D148*'Outil de gestion'!$E$47+D166</f>
        <v>78.5714285714286</v>
      </c>
      <c r="E181" s="28" t="n">
        <f aca="false">'Création site'!$E$14+INDEX('Création site'!$E$6:$E$10,MATCH(E7,'Création site'!$A$6:$A$10,0))+E14*(E8*'Création site'!$G$7+E9*'Création site'!$G$8+E10*'Création site'!$G$9+E11*'Création site'!$G$10)+E12*'Création site'!$E$15+INDEX(Référencement!$E$6:$E$10,MATCH(E21,Référencement!$A$6:$A$10,0))+E23*INDEX(Référencement!$G$6:$G$10,MATCH(E21,Référencement!$A$6:$A$10,0))+E12*INDEX(Référencement!$I$6:$I$10,MATCH(E21,Référencement!$A$6:$A$10,0))+INDEX(Référencement!$E$14:$E$16,MATCH(E22,Référencement!$A$14:$A$16,0))+E23*INDEX(Référencement!$G$14:$G$16,MATCH(E22,Référencement!$A$14:$A$16,0))+E28*'Création site'!$E$18+E29*'Création site'!$E$19+E30*'Création site'!$E$20+E31*'Création site'!$E$21+E32*'Création site'!$E$22+E33*'Création site'!$E$23+E34*'Création site'!$E$24+E35*'Création site'!$E$25+E36*'Création site'!$E$26+E37*'Création site'!$E$27+E38*'Création site'!$E$28+E39*'Création site'!$E$29+E40*'Création site'!$E$30+E41*'Création site'!$E$31+E42*'Création site'!$E$32+E43*'Création site'!$E$33+E44*'Création site'!$E$34+E45*'Création site'!$E$35+E46*'Création site'!$E$36+E50*'Création site'!$E$38+E51*'Création site'!$E$39+E52*'Création site'!$E$40+E53*'Création site'!$E$41+E54*'Création site'!$E$42+E55*'Création site'!$E$43+E56*'Création site'!$E$44+E57*'Création site'!$E$45+E58*'Création site'!$E$46+E59*'Création site'!$E$47+E63*'Création site'!$E$49+E64*'Création site'!$E$50+E65*'Création site'!$E$51+E66*'Création site'!$E$52+E67*'Création site'!$E$53+E68*'Création site'!$E$54+E72*Référencement!$E$20+E73*Référencement!$E$21+E74*Référencement!$E$22+E75*Référencement!$E$23+E76*Référencement!$E$24+E77*Référencement!$E$25+E78*Référencement!$E$26+E79*Référencement!$E$27+E80*Référencement!$E$28+E81*Référencement!$E$29+E82*Référencement!$E$30+E83*Référencement!$E$31+E84*Référencement!$E$32+E96*Boutique!$E$13+E97*Boutique!$E$14+E98*Boutique!$E$15+E99*Boutique!$E$16+E100*Boutique!$E$17+E101*Boutique!$E$18+E102*Boutique!$E$19+E103*Boutique!$E$20+E104*Boutique!$E$21+E105*Boutique!$E$22+E154*'Outil de gestion'!$E$49+E155*'Outil de gestion'!$E$50+E156*'Outil de gestion'!$E$51+E157*'Outil de gestion'!$E$52+E158*'Outil de gestion'!$E$53+E159*'Outil de gestion'!$E$54+E160*'Outil de gestion'!$E$55+E161*'Outil de gestion'!$E$56+E162*'Outil de gestion'!$E$57+IF(E88="Oui",Boutique!$E$6+IF(E90="Oui",Boutique!$E$9,E89*Boutique!$E$8),0)+IF(E109="Oui",'Outil de gestion'!$E$6,0)+E114*'Outil de gestion'!$E$8+E115*'Outil de gestion'!$E$9+E116*'Outil de gestion'!$E$10+E117*'Outil de gestion'!$E$11+E118*'Outil de gestion'!$E$12+E119*'Outil de gestion'!$E$13+E120*'Outil de gestion'!$E$15+E121*'Outil de gestion'!$E$16+E122*'Outil de gestion'!$E$17+E123*'Outil de gestion'!$E$18+E124*'Outil de gestion'!$E$19+E125*'Outil de gestion'!$E$20+E126*'Outil de gestion'!$E$21+E127*'Outil de gestion'!$E$22+E128*'Outil de gestion'!$E$24+E129*'Outil de gestion'!$E$25+E130*'Outil de gestion'!$E$26+E131*'Outil de gestion'!$E$27+E132*'Outil de gestion'!$E$28+E133*'Outil de gestion'!$E$29+E134*'Outil de gestion'!$E$31+E135*'Outil de gestion'!$E$32+E136*'Outil de gestion'!$E$33+E137*'Outil de gestion'!$E$34+E138*'Outil de gestion'!$E$35+E139*'Outil de gestion'!$E$37+E140*'Outil de gestion'!$E$38+E141*'Outil de gestion'!$E$39+E142*'Outil de gestion'!$E$40+E143*'Outil de gestion'!$E$41+E144*'Outil de gestion'!$E$43+E145*'Outil de gestion'!$E$44+E146*'Outil de gestion'!$E$45+E147*'Outil de gestion'!$E$46+E148*'Outil de gestion'!$E$47+E166</f>
        <v>10</v>
      </c>
      <c r="F181" s="2"/>
    </row>
    <row r="182" customFormat="false" ht="15" hidden="false" customHeight="false" outlineLevel="0" collapsed="false">
      <c r="A182" s="10" t="s">
        <v>320</v>
      </c>
      <c r="C182" s="18" t="n">
        <f aca="false">IF(C181&gt;0,C174/C181,0)</f>
        <v>54.3108829853645</v>
      </c>
      <c r="D182" s="18" t="n">
        <f aca="false">IF(D181&gt;0,D174/D181,0)</f>
        <v>52.5636363636364</v>
      </c>
      <c r="E182" s="18" t="n">
        <f aca="false">IF(E181&gt;0,E174/E181,0)</f>
        <v>50</v>
      </c>
      <c r="F182" s="2" t="s">
        <v>321</v>
      </c>
    </row>
    <row r="183" customFormat="false" ht="15" hidden="false" customHeight="false" outlineLevel="0" collapsed="false">
      <c r="A183" s="10" t="s">
        <v>322</v>
      </c>
      <c r="C183" s="16" t="n">
        <f aca="false">MAX(1,ROUNDUP(C181/Paramètres!$B$16,0))</f>
        <v>5</v>
      </c>
      <c r="D183" s="16" t="n">
        <f aca="false">MAX(1,ROUNDUP(D181/Paramètres!$B$16,0))</f>
        <v>6</v>
      </c>
      <c r="E183" s="16" t="n">
        <f aca="false">MAX(1,ROUNDUP(E181/Paramètres!$B$16,0))</f>
        <v>1</v>
      </c>
      <c r="F183" s="2"/>
    </row>
    <row r="184" customFormat="false" ht="15" hidden="false" customHeight="false" outlineLevel="0" collapsed="false">
      <c r="A184" s="10" t="s">
        <v>323</v>
      </c>
      <c r="C184" s="16" t="n">
        <f aca="false">ROUNDUP(C183*Paramètres!$B$17,0)</f>
        <v>8</v>
      </c>
      <c r="D184" s="16" t="n">
        <f aca="false">ROUNDUP(D183*Paramètres!$B$17,0)</f>
        <v>10</v>
      </c>
      <c r="E184" s="16" t="n">
        <f aca="false">ROUNDUP(E183*Paramètres!$B$17,0)</f>
        <v>2</v>
      </c>
      <c r="F184" s="2"/>
    </row>
    <row r="186" customFormat="false" ht="15" hidden="false" customHeight="false" outlineLevel="0" collapsed="false">
      <c r="A186" s="8" t="s">
        <v>324</v>
      </c>
      <c r="B186" s="9"/>
      <c r="C186" s="9"/>
      <c r="D186" s="9"/>
      <c r="E186" s="9"/>
      <c r="F186" s="9"/>
    </row>
    <row r="187" customFormat="false" ht="15" hidden="false" customHeight="false" outlineLevel="0" collapsed="false">
      <c r="A187" s="10" t="s">
        <v>325</v>
      </c>
      <c r="B187" s="11"/>
      <c r="C187" s="12" t="s">
        <v>326</v>
      </c>
      <c r="D187" s="12" t="s">
        <v>326</v>
      </c>
      <c r="E187" s="13" t="s">
        <v>173</v>
      </c>
      <c r="F187" s="2"/>
    </row>
    <row r="188" customFormat="false" ht="15" hidden="false" customHeight="false" outlineLevel="0" collapsed="false">
      <c r="A188" s="10" t="s">
        <v>327</v>
      </c>
      <c r="B188" s="11" t="s">
        <v>328</v>
      </c>
      <c r="C188" s="14" t="n">
        <v>4</v>
      </c>
      <c r="D188" s="14" t="n">
        <v>4</v>
      </c>
      <c r="E188" s="15" t="n">
        <v>0</v>
      </c>
      <c r="F188" s="2"/>
    </row>
    <row r="189" customFormat="false" ht="15" hidden="false" customHeight="false" outlineLevel="0" collapsed="false">
      <c r="A189" s="10" t="s">
        <v>329</v>
      </c>
      <c r="B189" s="11" t="s">
        <v>330</v>
      </c>
      <c r="C189" s="14" t="n">
        <v>0</v>
      </c>
      <c r="D189" s="14" t="n">
        <v>0</v>
      </c>
      <c r="E189" s="15" t="n">
        <v>0</v>
      </c>
      <c r="F189" s="2"/>
    </row>
    <row r="190" customFormat="false" ht="15" hidden="false" customHeight="false" outlineLevel="0" collapsed="false">
      <c r="A190" s="10" t="s">
        <v>331</v>
      </c>
      <c r="B190" s="11"/>
      <c r="C190" s="12" t="s">
        <v>60</v>
      </c>
      <c r="D190" s="12" t="s">
        <v>59</v>
      </c>
      <c r="E190" s="13" t="s">
        <v>60</v>
      </c>
      <c r="F190" s="2"/>
    </row>
    <row r="191" customFormat="false" ht="15" hidden="false" customHeight="false" outlineLevel="0" collapsed="false">
      <c r="A191" s="10" t="s">
        <v>332</v>
      </c>
      <c r="B191" s="11" t="s">
        <v>333</v>
      </c>
      <c r="C191" s="12" t="s">
        <v>173</v>
      </c>
      <c r="D191" s="12" t="s">
        <v>173</v>
      </c>
      <c r="E191" s="13" t="s">
        <v>173</v>
      </c>
      <c r="F191" s="2"/>
    </row>
    <row r="192" customFormat="false" ht="15" hidden="false" customHeight="false" outlineLevel="0" collapsed="false">
      <c r="A192" s="10" t="s">
        <v>334</v>
      </c>
      <c r="B192" s="11" t="s">
        <v>335</v>
      </c>
      <c r="C192" s="14" t="n">
        <v>0</v>
      </c>
      <c r="D192" s="14" t="n">
        <v>0</v>
      </c>
      <c r="E192" s="15" t="n">
        <v>0</v>
      </c>
      <c r="F192" s="2"/>
    </row>
    <row r="193" customFormat="false" ht="15" hidden="false" customHeight="false" outlineLevel="0" collapsed="false">
      <c r="A193" s="10" t="s">
        <v>336</v>
      </c>
      <c r="B193" s="11" t="s">
        <v>337</v>
      </c>
      <c r="C193" s="12" t="s">
        <v>173</v>
      </c>
      <c r="D193" s="12" t="s">
        <v>326</v>
      </c>
      <c r="E193" s="13" t="s">
        <v>173</v>
      </c>
      <c r="F193" s="2"/>
    </row>
    <row r="194" customFormat="false" ht="15" hidden="false" customHeight="false" outlineLevel="0" collapsed="false">
      <c r="A194" s="10" t="s">
        <v>338</v>
      </c>
      <c r="B194" s="11" t="s">
        <v>339</v>
      </c>
      <c r="C194" s="12" t="s">
        <v>173</v>
      </c>
      <c r="D194" s="12" t="s">
        <v>173</v>
      </c>
      <c r="E194" s="13" t="s">
        <v>173</v>
      </c>
      <c r="F194" s="2"/>
    </row>
    <row r="195" customFormat="false" ht="15" hidden="false" customHeight="false" outlineLevel="0" collapsed="false">
      <c r="A195" s="10" t="s">
        <v>340</v>
      </c>
      <c r="B195" s="11" t="s">
        <v>341</v>
      </c>
      <c r="C195" s="14" t="n">
        <v>0</v>
      </c>
      <c r="D195" s="14" t="n">
        <v>0</v>
      </c>
      <c r="E195" s="15" t="n">
        <v>0</v>
      </c>
      <c r="F195" s="2"/>
    </row>
    <row r="196" customFormat="false" ht="15" hidden="false" customHeight="false" outlineLevel="0" collapsed="false">
      <c r="A196" s="10" t="s">
        <v>342</v>
      </c>
      <c r="B196" s="11"/>
      <c r="C196" s="12" t="s">
        <v>173</v>
      </c>
      <c r="D196" s="12" t="s">
        <v>173</v>
      </c>
      <c r="E196" s="13" t="s">
        <v>173</v>
      </c>
      <c r="F196" s="2"/>
    </row>
    <row r="197" customFormat="false" ht="15" hidden="false" customHeight="false" outlineLevel="0" collapsed="false">
      <c r="A197" s="10" t="s">
        <v>343</v>
      </c>
      <c r="C197" s="18" t="n">
        <f aca="false">IF(C109="Oui",Abonnements!$D$10,0)+IF(C88="Oui",Abonnements!$D$9,IF(C7="Aucun",0,IF(C23&gt;10,Abonnements!$D$7,Abonnements!$D$6)))+IF(OR(C7="Immersif",C11&gt;0),Abonnements!$D$8,0)</f>
        <v>20</v>
      </c>
      <c r="D197" s="18" t="n">
        <f aca="false">IF(D109="Oui",Abonnements!$D$10,0)+IF(D88="Oui",Abonnements!$D$9,IF(D7="Aucun",0,IF(D23&gt;10,Abonnements!$D$7,Abonnements!$D$6)))+IF(OR(D7="Immersif",D11&gt;0),Abonnements!$D$8,0)</f>
        <v>15</v>
      </c>
      <c r="E197" s="18" t="n">
        <f aca="false">IF(E109="Oui",Abonnements!$D$10,0)+IF(E88="Oui",Abonnements!$D$9,IF(E7="Aucun",0,IF(E23&gt;10,Abonnements!$D$7,Abonnements!$D$6)))+IF(OR(E7="Immersif",E11&gt;0),Abonnements!$D$8,0)</f>
        <v>10</v>
      </c>
      <c r="F197" s="2"/>
    </row>
    <row r="198" customFormat="false" ht="15" hidden="false" customHeight="false" outlineLevel="0" collapsed="false">
      <c r="A198" s="10" t="s">
        <v>344</v>
      </c>
      <c r="C198" s="18" t="n">
        <f aca="false">IF(C7="Aucun",0,Abonnements!$D$12+C23*Abonnements!$D$13+C12*Abonnements!$D$14)+IF(C88="Oui",Abonnements!$D$15,0)+IF(C109="Oui",Abonnements!$D$16+C150*Abonnements!$D$17,0)</f>
        <v>30</v>
      </c>
      <c r="D198" s="18" t="n">
        <f aca="false">IF(D7="Aucun",0,Abonnements!$D$12+D23*Abonnements!$D$13+D12*Abonnements!$D$14)+IF(D88="Oui",Abonnements!$D$15,0)+IF(D109="Oui",Abonnements!$D$16+D150*Abonnements!$D$17,0)</f>
        <v>33</v>
      </c>
      <c r="E198" s="18" t="n">
        <f aca="false">IF(E7="Aucun",0,Abonnements!$D$12+E23*Abonnements!$D$13+E12*Abonnements!$D$14)+IF(E88="Oui",Abonnements!$D$15,0)+IF(E109="Oui",Abonnements!$D$16+E150*Abonnements!$D$17,0)</f>
        <v>15.5</v>
      </c>
      <c r="F198" s="2"/>
    </row>
    <row r="199" customFormat="false" ht="15" hidden="false" customHeight="false" outlineLevel="0" collapsed="false">
      <c r="A199" s="10" t="s">
        <v>345</v>
      </c>
      <c r="C199" s="18" t="n">
        <f aca="false">C188*Abonnements!$D$19+C189*Abonnements!$D$20+IF(C190="Local",Abonnements!$D$21,IF(C190="Régional",Abonnements!$D$22,IF(C190="National",Abonnements!$D$23,0)))+IF(C191="Oui",Abonnements!$D$24,0)+C192*Abonnements!$D$25+IF(C193="Oui",Abonnements!$D$26,0)+IF(C194="Oui",Abonnements!$D$27,0)+C195*Abonnements!$D$28</f>
        <v>40</v>
      </c>
      <c r="D199" s="18" t="n">
        <f aca="false">D188*Abonnements!$D$19+D189*Abonnements!$D$20+IF(D190="Local",Abonnements!$D$21,IF(D190="Régional",Abonnements!$D$22,IF(D190="National",Abonnements!$D$23,0)))+IF(D191="Oui",Abonnements!$D$24,0)+D192*Abonnements!$D$25+IF(D193="Oui",Abonnements!$D$26,0)+IF(D194="Oui",Abonnements!$D$27,0)+D195*Abonnements!$D$28</f>
        <v>125</v>
      </c>
      <c r="E199" s="18" t="n">
        <f aca="false">E188*Abonnements!$D$19+E189*Abonnements!$D$20+IF(E190="Local",Abonnements!$D$21,IF(E190="Régional",Abonnements!$D$22,IF(E190="National",Abonnements!$D$23,0)))+IF(E191="Oui",Abonnements!$D$24,0)+E192*Abonnements!$D$25+IF(E193="Oui",Abonnements!$D$26,0)+IF(E194="Oui",Abonnements!$D$27,0)+E195*Abonnements!$D$28</f>
        <v>0</v>
      </c>
      <c r="F199" s="2"/>
    </row>
    <row r="200" customFormat="false" ht="15" hidden="false" customHeight="false" outlineLevel="0" collapsed="false">
      <c r="A200" s="23" t="s">
        <v>346</v>
      </c>
      <c r="C200" s="24" t="n">
        <f aca="false">IF(C187="Oui",ROUND((C197+C198+C199)*Paramètres!$B$6*IF(C196="Oui",1-Abonnements!$D$30,1),0),0)</f>
        <v>90</v>
      </c>
      <c r="D200" s="24" t="n">
        <f aca="false">IF(D187="Oui",ROUND((D197+D198+D199)*Paramètres!$B$6*IF(D196="Oui",1-Abonnements!$D$30,1),0),0)</f>
        <v>173</v>
      </c>
      <c r="E200" s="24" t="n">
        <f aca="false">IF(E187="Oui",ROUND((E197+E198+E199)*Paramètres!$B$6*IF(E196="Oui",1-Abonnements!$D$30,1),0),0)</f>
        <v>0</v>
      </c>
      <c r="F200" s="2" t="s">
        <v>347</v>
      </c>
    </row>
    <row r="202" customFormat="false" ht="15" hidden="false" customHeight="false" outlineLevel="0" collapsed="false">
      <c r="A202" s="8" t="s">
        <v>348</v>
      </c>
      <c r="B202" s="9"/>
      <c r="C202" s="9"/>
      <c r="D202" s="9"/>
      <c r="E202" s="9"/>
      <c r="F202" s="9"/>
    </row>
    <row r="203" customFormat="false" ht="15" hidden="false" customHeight="false" outlineLevel="0" collapsed="false">
      <c r="A203" s="10" t="s">
        <v>349</v>
      </c>
      <c r="B203" s="11"/>
      <c r="C203" s="29" t="n">
        <v>1247</v>
      </c>
      <c r="D203" s="29" t="n">
        <v>3174</v>
      </c>
      <c r="E203" s="30" t="n">
        <v>0</v>
      </c>
      <c r="F203" s="2"/>
    </row>
    <row r="204" customFormat="false" ht="15" hidden="false" customHeight="false" outlineLevel="0" collapsed="false">
      <c r="A204" s="10" t="s">
        <v>350</v>
      </c>
      <c r="C204" s="17" t="n">
        <f aca="false">IF(C203&gt;0,C174/C203-1,0)</f>
        <v>2.24779470729751</v>
      </c>
      <c r="D204" s="17" t="n">
        <f aca="false">IF(D203&gt;0,D174/D203-1,0)</f>
        <v>0.30119722747322</v>
      </c>
      <c r="E204" s="17" t="n">
        <f aca="false">IF(E203&gt;0,E174/E203-1,0)</f>
        <v>0</v>
      </c>
      <c r="F204" s="2"/>
    </row>
    <row r="205" customFormat="false" ht="15" hidden="false" customHeight="false" outlineLevel="0" collapsed="false">
      <c r="A205" s="10" t="s">
        <v>351</v>
      </c>
      <c r="B205" s="11"/>
      <c r="C205" s="29" t="n">
        <v>85</v>
      </c>
      <c r="D205" s="29" t="n">
        <v>162</v>
      </c>
      <c r="E205" s="30" t="n">
        <v>0</v>
      </c>
      <c r="F205" s="2"/>
    </row>
  </sheetData>
  <dataValidations count="5">
    <dataValidation allowBlank="false" errorStyle="stop" operator="between" showDropDown="false" showErrorMessage="false" showInputMessage="false" sqref="C7:E7" type="list">
      <formula1>'Création site'!$A$6:$A$10</formula1>
      <formula2>0</formula2>
    </dataValidation>
    <dataValidation allowBlank="false" errorStyle="stop" operator="between" showDropDown="false" showErrorMessage="false" showInputMessage="false" sqref="C21:E21" type="list">
      <formula1>Référencement!$A$6:$A$10</formula1>
      <formula2>0</formula2>
    </dataValidation>
    <dataValidation allowBlank="false" errorStyle="stop" operator="between" showDropDown="false" showErrorMessage="false" showInputMessage="false" sqref="C88:E88 C90:E90 C109:E109 C168:E168 C187:E187 C191:E191 C193:E194 C196:E196" type="list">
      <formula1>"Oui,Non"</formula1>
      <formula2>0</formula2>
    </dataValidation>
    <dataValidation allowBlank="false" errorStyle="stop" operator="between" showDropDown="false" showErrorMessage="false" showInputMessage="false" sqref="C190:E190" type="list">
      <formula1>"Aucun,Local,Régional,National"</formula1>
      <formula2>0</formula2>
    </dataValidation>
    <dataValidation allowBlank="false" errorStyle="stop" operator="between" showDropDown="false" showErrorMessage="false" showInputMessage="false" sqref="C22:E22" type="list">
      <formula1>Référencement!$A$14:$A$16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70"/>
  </cols>
  <sheetData>
    <row r="1" customFormat="false" ht="17.35" hidden="false" customHeight="false" outlineLevel="0" collapsed="false">
      <c r="A1" s="5" t="s">
        <v>352</v>
      </c>
    </row>
    <row r="2" customFormat="false" ht="15" hidden="false" customHeight="false" outlineLevel="0" collapsed="false">
      <c r="A2" s="6" t="s">
        <v>353</v>
      </c>
    </row>
    <row r="4" customFormat="false" ht="30" hidden="false" customHeight="true" outlineLevel="0" collapsed="false">
      <c r="A4" s="7" t="s">
        <v>354</v>
      </c>
      <c r="B4" s="7" t="s">
        <v>355</v>
      </c>
      <c r="C4" s="7" t="s">
        <v>356</v>
      </c>
    </row>
    <row r="5" customFormat="false" ht="23.85" hidden="false" customHeight="false" outlineLevel="0" collapsed="false">
      <c r="A5" s="31" t="s">
        <v>357</v>
      </c>
      <c r="B5" s="32" t="n">
        <v>45</v>
      </c>
      <c r="C5" s="31" t="s">
        <v>358</v>
      </c>
    </row>
    <row r="6" customFormat="false" ht="15" hidden="false" customHeight="false" outlineLevel="0" collapsed="false">
      <c r="A6" s="31" t="s">
        <v>359</v>
      </c>
      <c r="B6" s="33" t="n">
        <v>1</v>
      </c>
      <c r="C6" s="31" t="s">
        <v>360</v>
      </c>
    </row>
    <row r="7" customFormat="false" ht="15" hidden="false" customHeight="false" outlineLevel="0" collapsed="false">
      <c r="A7" s="31" t="s">
        <v>361</v>
      </c>
      <c r="B7" s="34" t="n">
        <v>0.9</v>
      </c>
      <c r="C7" s="31" t="s">
        <v>362</v>
      </c>
    </row>
    <row r="8" customFormat="false" ht="15" hidden="false" customHeight="false" outlineLevel="0" collapsed="false">
      <c r="A8" s="31" t="s">
        <v>363</v>
      </c>
      <c r="B8" s="34" t="n">
        <v>1.15</v>
      </c>
      <c r="C8" s="31"/>
    </row>
    <row r="9" customFormat="false" ht="15" hidden="false" customHeight="false" outlineLevel="0" collapsed="false">
      <c r="A9" s="31" t="s">
        <v>364</v>
      </c>
      <c r="B9" s="32" t="n">
        <v>10</v>
      </c>
      <c r="C9" s="31" t="s">
        <v>365</v>
      </c>
    </row>
    <row r="10" customFormat="false" ht="15" hidden="false" customHeight="false" outlineLevel="0" collapsed="false">
      <c r="A10" s="31" t="s">
        <v>366</v>
      </c>
      <c r="B10" s="35" t="n">
        <v>10</v>
      </c>
      <c r="C10" s="31" t="s">
        <v>367</v>
      </c>
    </row>
    <row r="11" customFormat="false" ht="15" hidden="false" customHeight="false" outlineLevel="0" collapsed="false">
      <c r="A11" s="31" t="s">
        <v>368</v>
      </c>
      <c r="B11" s="35" t="n">
        <v>30</v>
      </c>
      <c r="C11" s="31"/>
    </row>
    <row r="12" customFormat="false" ht="15" hidden="false" customHeight="false" outlineLevel="0" collapsed="false">
      <c r="A12" s="31" t="s">
        <v>369</v>
      </c>
      <c r="B12" s="34" t="n">
        <v>0.6</v>
      </c>
      <c r="C12" s="31" t="s">
        <v>370</v>
      </c>
    </row>
    <row r="13" customFormat="false" ht="15" hidden="false" customHeight="false" outlineLevel="0" collapsed="false">
      <c r="A13" s="31" t="s">
        <v>371</v>
      </c>
      <c r="B13" s="34" t="n">
        <v>0.4</v>
      </c>
      <c r="C13" s="31" t="s">
        <v>372</v>
      </c>
    </row>
    <row r="14" customFormat="false" ht="15" hidden="false" customHeight="false" outlineLevel="0" collapsed="false">
      <c r="A14" s="31" t="s">
        <v>314</v>
      </c>
      <c r="B14" s="34" t="n">
        <v>0.4</v>
      </c>
      <c r="C14" s="31" t="s">
        <v>373</v>
      </c>
    </row>
    <row r="15" customFormat="false" ht="15" hidden="false" customHeight="false" outlineLevel="0" collapsed="false">
      <c r="A15" s="31" t="s">
        <v>374</v>
      </c>
      <c r="B15" s="34" t="n">
        <v>0.2</v>
      </c>
      <c r="C15" s="31" t="s">
        <v>375</v>
      </c>
    </row>
    <row r="16" customFormat="false" ht="15" hidden="false" customHeight="false" outlineLevel="0" collapsed="false">
      <c r="A16" s="31" t="s">
        <v>376</v>
      </c>
      <c r="B16" s="36" t="n">
        <v>15</v>
      </c>
      <c r="C16" s="31" t="s">
        <v>377</v>
      </c>
    </row>
    <row r="17" customFormat="false" ht="15" hidden="false" customHeight="false" outlineLevel="0" collapsed="false">
      <c r="A17" s="31" t="s">
        <v>378</v>
      </c>
      <c r="B17" s="37" t="n">
        <v>1.6</v>
      </c>
      <c r="C17" s="31" t="s">
        <v>379</v>
      </c>
    </row>
    <row r="18" customFormat="false" ht="15" hidden="false" customHeight="false" outlineLevel="0" collapsed="false">
      <c r="A18" s="31" t="s">
        <v>380</v>
      </c>
      <c r="B18" s="32" t="n">
        <v>3000</v>
      </c>
      <c r="C18" s="31"/>
    </row>
    <row r="19" customFormat="false" ht="15" hidden="false" customHeight="false" outlineLevel="0" collapsed="false">
      <c r="A19" s="31" t="s">
        <v>381</v>
      </c>
      <c r="B19" s="35" t="n">
        <v>5</v>
      </c>
      <c r="C19"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2"/>
    <col collapsed="false" customWidth="true" hidden="false" outlineLevel="0" max="6" min="4" style="0" width="11"/>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5" t="s">
        <v>382</v>
      </c>
    </row>
    <row r="2" customFormat="false" ht="15" hidden="false" customHeight="false" outlineLevel="0" collapsed="false">
      <c r="A2" s="6" t="s">
        <v>383</v>
      </c>
    </row>
    <row r="4" customFormat="false" ht="30" hidden="false" customHeight="true" outlineLevel="0" collapsed="false">
      <c r="A4" s="7" t="s">
        <v>29</v>
      </c>
      <c r="B4" s="7" t="s">
        <v>28</v>
      </c>
      <c r="C4" s="7" t="s">
        <v>384</v>
      </c>
      <c r="D4" s="7" t="s">
        <v>385</v>
      </c>
      <c r="E4" s="7" t="s">
        <v>319</v>
      </c>
      <c r="F4" s="7" t="s">
        <v>386</v>
      </c>
      <c r="G4" s="7" t="s">
        <v>387</v>
      </c>
      <c r="H4" s="7" t="s">
        <v>388</v>
      </c>
    </row>
    <row r="5" customFormat="false" ht="15" hidden="false" customHeight="false" outlineLevel="0" collapsed="false">
      <c r="A5" s="8" t="s">
        <v>389</v>
      </c>
      <c r="B5" s="9"/>
      <c r="C5" s="9"/>
      <c r="D5" s="9"/>
      <c r="E5" s="9"/>
      <c r="F5" s="9"/>
      <c r="G5" s="9"/>
      <c r="H5" s="9"/>
    </row>
    <row r="6" customFormat="false" ht="23.85" hidden="false" customHeight="false" outlineLevel="0" collapsed="false">
      <c r="A6" s="31" t="s">
        <v>390</v>
      </c>
      <c r="B6" s="31" t="s">
        <v>391</v>
      </c>
      <c r="C6" s="31" t="s">
        <v>392</v>
      </c>
      <c r="D6" s="38" t="n">
        <v>0</v>
      </c>
      <c r="E6" s="39" t="n">
        <v>0.5</v>
      </c>
      <c r="F6" s="40" t="n">
        <f aca="false">IF(E6&gt;0,D6/E6,"")</f>
        <v>0</v>
      </c>
      <c r="G6" s="31" t="s">
        <v>393</v>
      </c>
      <c r="H6" s="31" t="s">
        <v>394</v>
      </c>
    </row>
    <row r="7" customFormat="false" ht="35.05" hidden="false" customHeight="false" outlineLevel="0" collapsed="false">
      <c r="A7" s="31" t="s">
        <v>395</v>
      </c>
      <c r="B7" s="31" t="s">
        <v>396</v>
      </c>
      <c r="C7" s="31" t="s">
        <v>397</v>
      </c>
      <c r="D7" s="38" t="n">
        <v>15</v>
      </c>
      <c r="E7" s="39" t="n">
        <v>6</v>
      </c>
      <c r="F7" s="40" t="n">
        <f aca="false">IF(E7&gt;0,D7/E7,"")</f>
        <v>2.5</v>
      </c>
      <c r="G7" s="31" t="s">
        <v>393</v>
      </c>
      <c r="H7" s="31" t="s">
        <v>398</v>
      </c>
    </row>
    <row r="8" customFormat="false" ht="23.85" hidden="false" customHeight="false" outlineLevel="0" collapsed="false">
      <c r="A8" s="31" t="s">
        <v>399</v>
      </c>
      <c r="B8" s="31" t="s">
        <v>400</v>
      </c>
      <c r="C8" s="31" t="s">
        <v>401</v>
      </c>
      <c r="D8" s="38" t="n">
        <v>30</v>
      </c>
      <c r="E8" s="39" t="n">
        <v>1.5</v>
      </c>
      <c r="F8" s="40" t="n">
        <f aca="false">IF(E8&gt;0,D8/E8,"")</f>
        <v>20</v>
      </c>
      <c r="G8" s="31" t="s">
        <v>393</v>
      </c>
      <c r="H8" s="31" t="s">
        <v>402</v>
      </c>
    </row>
    <row r="9" customFormat="false" ht="15" hidden="false" customHeight="false" outlineLevel="0" collapsed="false">
      <c r="A9" s="8" t="s">
        <v>403</v>
      </c>
      <c r="B9" s="9"/>
      <c r="C9" s="9"/>
      <c r="D9" s="9"/>
      <c r="E9" s="9"/>
      <c r="F9" s="9"/>
      <c r="G9" s="9"/>
      <c r="H9" s="9"/>
    </row>
    <row r="10" customFormat="false" ht="23.85" hidden="false" customHeight="false" outlineLevel="0" collapsed="false">
      <c r="A10" s="31" t="s">
        <v>404</v>
      </c>
      <c r="B10" s="31" t="s">
        <v>405</v>
      </c>
      <c r="C10" s="31" t="s">
        <v>406</v>
      </c>
      <c r="D10" s="38" t="n">
        <v>0</v>
      </c>
      <c r="E10" s="39" t="n">
        <v>0</v>
      </c>
      <c r="F10" s="40" t="str">
        <f aca="false">IF(E10&gt;0,D10/E10,"")</f>
        <v/>
      </c>
      <c r="G10" s="31" t="s">
        <v>407</v>
      </c>
      <c r="H10" s="31" t="s">
        <v>408</v>
      </c>
    </row>
    <row r="11" customFormat="false" ht="15" hidden="false" customHeight="false" outlineLevel="0" collapsed="false">
      <c r="A11" s="31" t="s">
        <v>304</v>
      </c>
      <c r="B11" s="31" t="s">
        <v>409</v>
      </c>
      <c r="C11" s="31" t="s">
        <v>410</v>
      </c>
      <c r="D11" s="38" t="n">
        <v>40</v>
      </c>
      <c r="E11" s="39" t="n">
        <v>1</v>
      </c>
      <c r="F11" s="40" t="n">
        <f aca="false">IF(E11&gt;0,D11/E11,"")</f>
        <v>40</v>
      </c>
      <c r="G11" s="31" t="s">
        <v>411</v>
      </c>
      <c r="H11" s="31"/>
    </row>
    <row r="12" customFormat="false" ht="23.85" hidden="false" customHeight="false" outlineLevel="0" collapsed="false">
      <c r="A12" s="31" t="s">
        <v>412</v>
      </c>
      <c r="B12" s="31" t="s">
        <v>413</v>
      </c>
      <c r="C12" s="31" t="s">
        <v>414</v>
      </c>
      <c r="D12" s="38" t="n">
        <v>0</v>
      </c>
      <c r="E12" s="39" t="n">
        <v>0</v>
      </c>
      <c r="F12" s="40" t="str">
        <f aca="false">IF(E12&gt;0,D12/E12,"")</f>
        <v/>
      </c>
      <c r="G12" s="31" t="s">
        <v>415</v>
      </c>
      <c r="H12" s="31" t="s">
        <v>416</v>
      </c>
    </row>
    <row r="13" customFormat="false" ht="23.85" hidden="false" customHeight="false" outlineLevel="0" collapsed="false">
      <c r="A13" s="31" t="s">
        <v>417</v>
      </c>
      <c r="B13" s="31" t="s">
        <v>418</v>
      </c>
      <c r="C13" s="31" t="s">
        <v>419</v>
      </c>
      <c r="D13" s="38" t="n">
        <v>0</v>
      </c>
      <c r="E13" s="39" t="n">
        <v>0</v>
      </c>
      <c r="F13" s="40" t="str">
        <f aca="false">IF(E13&gt;0,D13/E13,"")</f>
        <v/>
      </c>
      <c r="G13" s="31" t="s">
        <v>420</v>
      </c>
      <c r="H13" s="31"/>
    </row>
    <row r="14" customFormat="false" ht="23.85" hidden="false" customHeight="false" outlineLevel="0" collapsed="false">
      <c r="A14" s="31" t="s">
        <v>306</v>
      </c>
      <c r="B14" s="31" t="s">
        <v>421</v>
      </c>
      <c r="C14" s="31" t="s">
        <v>422</v>
      </c>
      <c r="D14" s="41" t="n">
        <v>0.5</v>
      </c>
      <c r="E14" s="39" t="n">
        <v>0</v>
      </c>
      <c r="F14" s="40" t="str">
        <f aca="false">IF(E14&gt;0,D14/E14,"")</f>
        <v/>
      </c>
      <c r="G14" s="31" t="s">
        <v>423</v>
      </c>
      <c r="H14"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2"/>
    <col collapsed="false" customWidth="true" hidden="false" outlineLevel="0" max="6" min="4" style="0" width="11"/>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5" t="s">
        <v>424</v>
      </c>
    </row>
    <row r="2" customFormat="false" ht="15" hidden="false" customHeight="false" outlineLevel="0" collapsed="false">
      <c r="A2" s="6" t="s">
        <v>425</v>
      </c>
    </row>
    <row r="4" customFormat="false" ht="15" hidden="false" customHeight="false" outlineLevel="0" collapsed="false">
      <c r="A4" s="8" t="s">
        <v>426</v>
      </c>
      <c r="B4" s="9"/>
      <c r="C4" s="9"/>
      <c r="D4" s="9"/>
      <c r="E4" s="9"/>
      <c r="F4" s="9"/>
      <c r="G4" s="9"/>
      <c r="H4" s="9"/>
      <c r="I4" s="9"/>
    </row>
    <row r="5" customFormat="false" ht="30" hidden="false" customHeight="true" outlineLevel="0" collapsed="false">
      <c r="A5" s="7" t="s">
        <v>427</v>
      </c>
      <c r="B5" s="7" t="s">
        <v>428</v>
      </c>
      <c r="C5" s="7"/>
      <c r="D5" s="7" t="s">
        <v>429</v>
      </c>
      <c r="E5" s="7" t="s">
        <v>430</v>
      </c>
      <c r="F5" s="7" t="s">
        <v>431</v>
      </c>
      <c r="G5" s="7" t="s">
        <v>432</v>
      </c>
      <c r="H5" s="7" t="s">
        <v>433</v>
      </c>
      <c r="I5" s="7"/>
    </row>
    <row r="6" customFormat="false" ht="15" hidden="false" customHeight="false" outlineLevel="0" collapsed="false">
      <c r="A6" s="31" t="s">
        <v>60</v>
      </c>
      <c r="B6" s="31" t="s">
        <v>434</v>
      </c>
      <c r="C6" s="31"/>
      <c r="D6" s="38" t="n">
        <v>0</v>
      </c>
      <c r="E6" s="39" t="n">
        <v>0</v>
      </c>
      <c r="F6" s="38" t="n">
        <v>0</v>
      </c>
      <c r="G6" s="39" t="n">
        <v>0</v>
      </c>
      <c r="H6" s="31"/>
    </row>
    <row r="7" customFormat="false" ht="23.85" hidden="false" customHeight="false" outlineLevel="0" collapsed="false">
      <c r="A7" s="31" t="s">
        <v>38</v>
      </c>
      <c r="B7" s="31" t="s">
        <v>435</v>
      </c>
      <c r="C7" s="31"/>
      <c r="D7" s="38" t="n">
        <v>200</v>
      </c>
      <c r="E7" s="39" t="n">
        <v>4</v>
      </c>
      <c r="F7" s="38" t="n">
        <v>50</v>
      </c>
      <c r="G7" s="39" t="n">
        <v>1</v>
      </c>
      <c r="H7" s="31" t="s">
        <v>436</v>
      </c>
    </row>
    <row r="8" customFormat="false" ht="23.85" hidden="false" customHeight="false" outlineLevel="0" collapsed="false">
      <c r="A8" s="31" t="s">
        <v>437</v>
      </c>
      <c r="B8" s="31" t="s">
        <v>438</v>
      </c>
      <c r="C8" s="31"/>
      <c r="D8" s="38" t="n">
        <v>450</v>
      </c>
      <c r="E8" s="39" t="n">
        <v>8</v>
      </c>
      <c r="F8" s="38" t="n">
        <v>60</v>
      </c>
      <c r="G8" s="39" t="n">
        <v>1.25</v>
      </c>
      <c r="H8" s="31" t="s">
        <v>439</v>
      </c>
    </row>
    <row r="9" customFormat="false" ht="23.85" hidden="false" customHeight="false" outlineLevel="0" collapsed="false">
      <c r="A9" s="31" t="s">
        <v>37</v>
      </c>
      <c r="B9" s="31" t="s">
        <v>440</v>
      </c>
      <c r="C9" s="31"/>
      <c r="D9" s="38" t="n">
        <v>900</v>
      </c>
      <c r="E9" s="39" t="n">
        <v>14</v>
      </c>
      <c r="F9" s="38" t="n">
        <v>110</v>
      </c>
      <c r="G9" s="39" t="n">
        <v>2</v>
      </c>
      <c r="H9" s="31" t="s">
        <v>441</v>
      </c>
    </row>
    <row r="10" customFormat="false" ht="23.85" hidden="false" customHeight="false" outlineLevel="0" collapsed="false">
      <c r="A10" s="31" t="s">
        <v>36</v>
      </c>
      <c r="B10" s="31" t="s">
        <v>442</v>
      </c>
      <c r="C10" s="31"/>
      <c r="D10" s="38" t="n">
        <v>1400</v>
      </c>
      <c r="E10" s="39" t="n">
        <v>22</v>
      </c>
      <c r="F10" s="38" t="n">
        <v>220</v>
      </c>
      <c r="G10" s="39" t="n">
        <v>4</v>
      </c>
      <c r="H10" s="31" t="s">
        <v>443</v>
      </c>
    </row>
    <row r="12" customFormat="false" ht="30" hidden="false" customHeight="true" outlineLevel="0" collapsed="false">
      <c r="A12" s="7" t="s">
        <v>29</v>
      </c>
      <c r="B12" s="7" t="s">
        <v>28</v>
      </c>
      <c r="C12" s="7" t="s">
        <v>384</v>
      </c>
      <c r="D12" s="7" t="s">
        <v>385</v>
      </c>
      <c r="E12" s="7" t="s">
        <v>319</v>
      </c>
      <c r="F12" s="7" t="s">
        <v>386</v>
      </c>
      <c r="G12" s="7" t="s">
        <v>387</v>
      </c>
      <c r="H12" s="7" t="s">
        <v>388</v>
      </c>
    </row>
    <row r="13" customFormat="false" ht="15" hidden="false" customHeight="false" outlineLevel="0" collapsed="false">
      <c r="A13" s="8" t="s">
        <v>444</v>
      </c>
      <c r="B13" s="9"/>
      <c r="C13" s="9"/>
      <c r="D13" s="9"/>
      <c r="E13" s="9"/>
      <c r="F13" s="9"/>
      <c r="G13" s="9"/>
      <c r="H13" s="9"/>
    </row>
    <row r="14" customFormat="false" ht="35.05" hidden="false" customHeight="false" outlineLevel="0" collapsed="false">
      <c r="A14" s="31" t="s">
        <v>445</v>
      </c>
      <c r="B14" s="31" t="s">
        <v>51</v>
      </c>
      <c r="C14" s="31" t="s">
        <v>446</v>
      </c>
      <c r="D14" s="38" t="n">
        <v>300</v>
      </c>
      <c r="E14" s="39" t="n">
        <v>6</v>
      </c>
      <c r="F14" s="40" t="n">
        <f aca="false">IF(E14&gt;0,D14/E14,"")</f>
        <v>50</v>
      </c>
      <c r="G14" s="31" t="s">
        <v>447</v>
      </c>
      <c r="H14" s="31" t="s">
        <v>448</v>
      </c>
    </row>
    <row r="15" customFormat="false" ht="35.05" hidden="false" customHeight="false" outlineLevel="0" collapsed="false">
      <c r="A15" s="31" t="s">
        <v>46</v>
      </c>
      <c r="B15" s="31" t="s">
        <v>449</v>
      </c>
      <c r="C15" s="31" t="s">
        <v>450</v>
      </c>
      <c r="D15" s="38" t="n">
        <v>20</v>
      </c>
      <c r="E15" s="39" t="n">
        <v>0.4</v>
      </c>
      <c r="F15" s="40" t="n">
        <f aca="false">IF(E15&gt;0,D15/E15,"")</f>
        <v>50</v>
      </c>
      <c r="G15" s="31" t="s">
        <v>451</v>
      </c>
      <c r="H15" s="31"/>
    </row>
    <row r="16" customFormat="false" ht="15" hidden="false" customHeight="false" outlineLevel="0" collapsed="false">
      <c r="A16" s="8" t="s">
        <v>452</v>
      </c>
      <c r="B16" s="9"/>
      <c r="C16" s="9"/>
      <c r="D16" s="9"/>
      <c r="E16" s="9"/>
      <c r="F16" s="9"/>
      <c r="G16" s="9"/>
      <c r="H16" s="9"/>
    </row>
    <row r="17" customFormat="false" ht="15" hidden="false" customHeight="false" outlineLevel="0" collapsed="false">
      <c r="A17" s="31" t="s">
        <v>453</v>
      </c>
      <c r="B17" s="31" t="s">
        <v>454</v>
      </c>
      <c r="C17" s="31" t="s">
        <v>455</v>
      </c>
      <c r="D17" s="38" t="n">
        <v>0</v>
      </c>
      <c r="E17" s="39" t="n">
        <v>0</v>
      </c>
      <c r="F17" s="40" t="str">
        <f aca="false">IF(E17&gt;0,D17/E17,"")</f>
        <v/>
      </c>
      <c r="G17" s="31" t="s">
        <v>420</v>
      </c>
      <c r="H17" s="31" t="s">
        <v>456</v>
      </c>
    </row>
    <row r="18" customFormat="false" ht="15" hidden="false" customHeight="false" outlineLevel="0" collapsed="false">
      <c r="A18" s="31" t="s">
        <v>69</v>
      </c>
      <c r="B18" s="31" t="s">
        <v>68</v>
      </c>
      <c r="C18" s="31" t="s">
        <v>457</v>
      </c>
      <c r="D18" s="38" t="n">
        <v>120</v>
      </c>
      <c r="E18" s="39" t="n">
        <v>2.5</v>
      </c>
      <c r="F18" s="40" t="n">
        <f aca="false">IF(E18&gt;0,D18/E18,"")</f>
        <v>48</v>
      </c>
      <c r="G18" s="31" t="s">
        <v>458</v>
      </c>
      <c r="H18" s="31"/>
    </row>
    <row r="19" customFormat="false" ht="23.85" hidden="false" customHeight="false" outlineLevel="0" collapsed="false">
      <c r="A19" s="31" t="s">
        <v>71</v>
      </c>
      <c r="B19" s="31" t="s">
        <v>70</v>
      </c>
      <c r="C19" s="31" t="s">
        <v>459</v>
      </c>
      <c r="D19" s="38" t="n">
        <v>250</v>
      </c>
      <c r="E19" s="39" t="n">
        <v>5</v>
      </c>
      <c r="F19" s="40" t="n">
        <f aca="false">IF(E19&gt;0,D19/E19,"")</f>
        <v>50</v>
      </c>
      <c r="G19" s="31" t="s">
        <v>460</v>
      </c>
      <c r="H19" s="31"/>
    </row>
    <row r="20" customFormat="false" ht="23.85" hidden="false" customHeight="false" outlineLevel="0" collapsed="false">
      <c r="A20" s="31" t="s">
        <v>73</v>
      </c>
      <c r="B20" s="31" t="s">
        <v>72</v>
      </c>
      <c r="C20" s="31" t="s">
        <v>461</v>
      </c>
      <c r="D20" s="38" t="n">
        <v>90</v>
      </c>
      <c r="E20" s="39" t="n">
        <v>1.75</v>
      </c>
      <c r="F20" s="40" t="n">
        <f aca="false">IF(E20&gt;0,D20/E20,"")</f>
        <v>51.4285714285714</v>
      </c>
      <c r="G20" s="31" t="s">
        <v>393</v>
      </c>
      <c r="H20" s="31"/>
    </row>
    <row r="21" customFormat="false" ht="23.85" hidden="false" customHeight="false" outlineLevel="0" collapsed="false">
      <c r="A21" s="31" t="s">
        <v>75</v>
      </c>
      <c r="B21" s="31" t="s">
        <v>74</v>
      </c>
      <c r="C21" s="31" t="s">
        <v>462</v>
      </c>
      <c r="D21" s="38" t="n">
        <v>600</v>
      </c>
      <c r="E21" s="39" t="n">
        <v>12</v>
      </c>
      <c r="F21" s="40" t="n">
        <f aca="false">IF(E21&gt;0,D21/E21,"")</f>
        <v>50</v>
      </c>
      <c r="G21" s="31" t="s">
        <v>393</v>
      </c>
      <c r="H21" s="31"/>
    </row>
    <row r="22" customFormat="false" ht="23.85" hidden="false" customHeight="false" outlineLevel="0" collapsed="false">
      <c r="A22" s="31" t="s">
        <v>77</v>
      </c>
      <c r="B22" s="31" t="s">
        <v>76</v>
      </c>
      <c r="C22" s="31" t="s">
        <v>463</v>
      </c>
      <c r="D22" s="38" t="n">
        <v>200</v>
      </c>
      <c r="E22" s="39" t="n">
        <v>4</v>
      </c>
      <c r="F22" s="40" t="n">
        <f aca="false">IF(E22&gt;0,D22/E22,"")</f>
        <v>50</v>
      </c>
      <c r="G22" s="31" t="s">
        <v>393</v>
      </c>
      <c r="H22" s="31"/>
    </row>
    <row r="23" customFormat="false" ht="15" hidden="false" customHeight="false" outlineLevel="0" collapsed="false">
      <c r="A23" s="31" t="s">
        <v>79</v>
      </c>
      <c r="B23" s="31" t="s">
        <v>78</v>
      </c>
      <c r="C23" s="31" t="s">
        <v>464</v>
      </c>
      <c r="D23" s="38" t="n">
        <v>120</v>
      </c>
      <c r="E23" s="39" t="n">
        <v>2.5</v>
      </c>
      <c r="F23" s="40" t="n">
        <f aca="false">IF(E23&gt;0,D23/E23,"")</f>
        <v>48</v>
      </c>
      <c r="G23" s="31" t="s">
        <v>393</v>
      </c>
      <c r="H23" s="31"/>
    </row>
    <row r="24" customFormat="false" ht="15" hidden="false" customHeight="false" outlineLevel="0" collapsed="false">
      <c r="A24" s="31" t="s">
        <v>81</v>
      </c>
      <c r="B24" s="31" t="s">
        <v>80</v>
      </c>
      <c r="C24" s="31" t="s">
        <v>465</v>
      </c>
      <c r="D24" s="38" t="n">
        <v>80</v>
      </c>
      <c r="E24" s="39" t="n">
        <v>1.5</v>
      </c>
      <c r="F24" s="40" t="n">
        <f aca="false">IF(E24&gt;0,D24/E24,"")</f>
        <v>53.3333333333333</v>
      </c>
      <c r="G24" s="31" t="s">
        <v>393</v>
      </c>
      <c r="H24" s="31"/>
    </row>
    <row r="25" customFormat="false" ht="15" hidden="false" customHeight="false" outlineLevel="0" collapsed="false">
      <c r="A25" s="31" t="s">
        <v>83</v>
      </c>
      <c r="B25" s="31" t="s">
        <v>82</v>
      </c>
      <c r="C25" s="31" t="s">
        <v>466</v>
      </c>
      <c r="D25" s="38" t="n">
        <v>90</v>
      </c>
      <c r="E25" s="39" t="n">
        <v>1.75</v>
      </c>
      <c r="F25" s="40" t="n">
        <f aca="false">IF(E25&gt;0,D25/E25,"")</f>
        <v>51.4285714285714</v>
      </c>
      <c r="G25" s="31" t="s">
        <v>393</v>
      </c>
      <c r="H25" s="31"/>
    </row>
    <row r="26" customFormat="false" ht="15" hidden="false" customHeight="false" outlineLevel="0" collapsed="false">
      <c r="A26" s="31" t="s">
        <v>85</v>
      </c>
      <c r="B26" s="31" t="s">
        <v>84</v>
      </c>
      <c r="C26" s="31" t="s">
        <v>467</v>
      </c>
      <c r="D26" s="38" t="n">
        <v>90</v>
      </c>
      <c r="E26" s="39" t="n">
        <v>1.75</v>
      </c>
      <c r="F26" s="40" t="n">
        <f aca="false">IF(E26&gt;0,D26/E26,"")</f>
        <v>51.4285714285714</v>
      </c>
      <c r="G26" s="31" t="s">
        <v>393</v>
      </c>
      <c r="H26" s="31"/>
    </row>
    <row r="27" customFormat="false" ht="15" hidden="false" customHeight="false" outlineLevel="0" collapsed="false">
      <c r="A27" s="31" t="s">
        <v>87</v>
      </c>
      <c r="B27" s="31" t="s">
        <v>86</v>
      </c>
      <c r="C27" s="31" t="s">
        <v>468</v>
      </c>
      <c r="D27" s="38" t="n">
        <v>90</v>
      </c>
      <c r="E27" s="39" t="n">
        <v>1.75</v>
      </c>
      <c r="F27" s="40" t="n">
        <f aca="false">IF(E27&gt;0,D27/E27,"")</f>
        <v>51.4285714285714</v>
      </c>
      <c r="G27" s="31" t="s">
        <v>393</v>
      </c>
      <c r="H27" s="31"/>
    </row>
    <row r="28" customFormat="false" ht="15" hidden="false" customHeight="false" outlineLevel="0" collapsed="false">
      <c r="A28" s="31" t="s">
        <v>89</v>
      </c>
      <c r="B28" s="31" t="s">
        <v>88</v>
      </c>
      <c r="C28" s="31" t="s">
        <v>469</v>
      </c>
      <c r="D28" s="38" t="n">
        <v>900</v>
      </c>
      <c r="E28" s="39" t="n">
        <v>18</v>
      </c>
      <c r="F28" s="40" t="n">
        <f aca="false">IF(E28&gt;0,D28/E28,"")</f>
        <v>50</v>
      </c>
      <c r="G28" s="31" t="s">
        <v>393</v>
      </c>
      <c r="H28" s="31"/>
    </row>
    <row r="29" customFormat="false" ht="15" hidden="false" customHeight="false" outlineLevel="0" collapsed="false">
      <c r="A29" s="31" t="s">
        <v>91</v>
      </c>
      <c r="B29" s="31" t="s">
        <v>90</v>
      </c>
      <c r="C29" s="31" t="s">
        <v>470</v>
      </c>
      <c r="D29" s="38" t="n">
        <v>200</v>
      </c>
      <c r="E29" s="39" t="n">
        <v>4</v>
      </c>
      <c r="F29" s="40" t="n">
        <f aca="false">IF(E29&gt;0,D29/E29,"")</f>
        <v>50</v>
      </c>
      <c r="G29" s="31" t="s">
        <v>393</v>
      </c>
      <c r="H29" s="31" t="s">
        <v>471</v>
      </c>
    </row>
    <row r="30" customFormat="false" ht="23.85" hidden="false" customHeight="false" outlineLevel="0" collapsed="false">
      <c r="A30" s="31" t="s">
        <v>93</v>
      </c>
      <c r="B30" s="31" t="s">
        <v>92</v>
      </c>
      <c r="C30" s="31" t="s">
        <v>472</v>
      </c>
      <c r="D30" s="38" t="n">
        <v>350</v>
      </c>
      <c r="E30" s="39" t="n">
        <v>7</v>
      </c>
      <c r="F30" s="40" t="n">
        <f aca="false">IF(E30&gt;0,D30/E30,"")</f>
        <v>50</v>
      </c>
      <c r="G30" s="31" t="s">
        <v>473</v>
      </c>
      <c r="H30" s="31"/>
    </row>
    <row r="31" customFormat="false" ht="15" hidden="false" customHeight="false" outlineLevel="0" collapsed="false">
      <c r="A31" s="31" t="s">
        <v>95</v>
      </c>
      <c r="B31" s="31" t="s">
        <v>94</v>
      </c>
      <c r="C31" s="31" t="s">
        <v>474</v>
      </c>
      <c r="D31" s="38" t="n">
        <v>90</v>
      </c>
      <c r="E31" s="39" t="n">
        <v>1.75</v>
      </c>
      <c r="F31" s="40" t="n">
        <f aca="false">IF(E31&gt;0,D31/E31,"")</f>
        <v>51.4285714285714</v>
      </c>
      <c r="G31" s="31" t="s">
        <v>393</v>
      </c>
      <c r="H31" s="31"/>
    </row>
    <row r="32" customFormat="false" ht="15" hidden="false" customHeight="false" outlineLevel="0" collapsed="false">
      <c r="A32" s="31" t="s">
        <v>97</v>
      </c>
      <c r="B32" s="31" t="s">
        <v>96</v>
      </c>
      <c r="C32" s="31" t="s">
        <v>475</v>
      </c>
      <c r="D32" s="38" t="n">
        <v>30</v>
      </c>
      <c r="E32" s="39" t="n">
        <v>0.5</v>
      </c>
      <c r="F32" s="40" t="n">
        <f aca="false">IF(E32&gt;0,D32/E32,"")</f>
        <v>60</v>
      </c>
      <c r="G32" s="31" t="s">
        <v>393</v>
      </c>
      <c r="H32" s="31"/>
    </row>
    <row r="33" customFormat="false" ht="23.85" hidden="false" customHeight="false" outlineLevel="0" collapsed="false">
      <c r="A33" s="31" t="s">
        <v>99</v>
      </c>
      <c r="B33" s="31" t="s">
        <v>98</v>
      </c>
      <c r="C33" s="31" t="s">
        <v>476</v>
      </c>
      <c r="D33" s="38" t="n">
        <v>450</v>
      </c>
      <c r="E33" s="39" t="n">
        <v>9</v>
      </c>
      <c r="F33" s="40" t="n">
        <f aca="false">IF(E33&gt;0,D33/E33,"")</f>
        <v>50</v>
      </c>
      <c r="G33" s="31" t="s">
        <v>477</v>
      </c>
      <c r="H33" s="31"/>
    </row>
    <row r="34" customFormat="false" ht="15" hidden="false" customHeight="false" outlineLevel="0" collapsed="false">
      <c r="A34" s="31" t="s">
        <v>101</v>
      </c>
      <c r="B34" s="31" t="s">
        <v>100</v>
      </c>
      <c r="C34" s="31" t="s">
        <v>478</v>
      </c>
      <c r="D34" s="38" t="n">
        <v>150</v>
      </c>
      <c r="E34" s="39" t="n">
        <v>3</v>
      </c>
      <c r="F34" s="40" t="n">
        <f aca="false">IF(E34&gt;0,D34/E34,"")</f>
        <v>50</v>
      </c>
      <c r="G34" s="31" t="s">
        <v>393</v>
      </c>
      <c r="H34" s="31"/>
    </row>
    <row r="35" customFormat="false" ht="15" hidden="false" customHeight="false" outlineLevel="0" collapsed="false">
      <c r="A35" s="31" t="s">
        <v>103</v>
      </c>
      <c r="B35" s="31" t="s">
        <v>102</v>
      </c>
      <c r="C35" s="31" t="s">
        <v>479</v>
      </c>
      <c r="D35" s="38" t="n">
        <v>60</v>
      </c>
      <c r="E35" s="39" t="n">
        <v>1.25</v>
      </c>
      <c r="F35" s="40" t="n">
        <f aca="false">IF(E35&gt;0,D35/E35,"")</f>
        <v>48</v>
      </c>
      <c r="G35" s="31" t="s">
        <v>393</v>
      </c>
      <c r="H35" s="31"/>
    </row>
    <row r="36" customFormat="false" ht="15" hidden="false" customHeight="false" outlineLevel="0" collapsed="false">
      <c r="A36" s="31" t="s">
        <v>105</v>
      </c>
      <c r="B36" s="31" t="s">
        <v>104</v>
      </c>
      <c r="C36" s="31" t="s">
        <v>480</v>
      </c>
      <c r="D36" s="38" t="n">
        <v>80</v>
      </c>
      <c r="E36" s="39" t="n">
        <v>1.5</v>
      </c>
      <c r="F36" s="40" t="n">
        <f aca="false">IF(E36&gt;0,D36/E36,"")</f>
        <v>53.3333333333333</v>
      </c>
      <c r="G36" s="31" t="s">
        <v>393</v>
      </c>
      <c r="H36" s="31"/>
    </row>
    <row r="37" customFormat="false" ht="15" hidden="false" customHeight="false" outlineLevel="0" collapsed="false">
      <c r="A37" s="8" t="s">
        <v>481</v>
      </c>
      <c r="B37" s="9"/>
      <c r="C37" s="9"/>
      <c r="D37" s="9"/>
      <c r="E37" s="9"/>
      <c r="F37" s="9"/>
      <c r="G37" s="9"/>
      <c r="H37" s="9"/>
    </row>
    <row r="38" customFormat="false" ht="15" hidden="false" customHeight="false" outlineLevel="0" collapsed="false">
      <c r="A38" s="31" t="s">
        <v>109</v>
      </c>
      <c r="B38" s="31" t="s">
        <v>108</v>
      </c>
      <c r="C38" s="31" t="s">
        <v>482</v>
      </c>
      <c r="D38" s="38" t="n">
        <v>700</v>
      </c>
      <c r="E38" s="39" t="n">
        <v>14</v>
      </c>
      <c r="F38" s="40" t="n">
        <f aca="false">IF(E38&gt;0,D38/E38,"")</f>
        <v>50</v>
      </c>
      <c r="G38" s="31" t="s">
        <v>483</v>
      </c>
      <c r="H38" s="31" t="s">
        <v>484</v>
      </c>
    </row>
    <row r="39" customFormat="false" ht="23.85" hidden="false" customHeight="false" outlineLevel="0" collapsed="false">
      <c r="A39" s="31" t="s">
        <v>111</v>
      </c>
      <c r="B39" s="31" t="s">
        <v>110</v>
      </c>
      <c r="C39" s="31" t="s">
        <v>485</v>
      </c>
      <c r="D39" s="38" t="n">
        <v>250</v>
      </c>
      <c r="E39" s="39" t="n">
        <v>5</v>
      </c>
      <c r="F39" s="40" t="n">
        <f aca="false">IF(E39&gt;0,D39/E39,"")</f>
        <v>50</v>
      </c>
      <c r="G39" s="31" t="s">
        <v>486</v>
      </c>
      <c r="H39" s="31"/>
    </row>
    <row r="40" customFormat="false" ht="15" hidden="false" customHeight="false" outlineLevel="0" collapsed="false">
      <c r="A40" s="31" t="s">
        <v>113</v>
      </c>
      <c r="B40" s="31" t="s">
        <v>112</v>
      </c>
      <c r="C40" s="31" t="s">
        <v>487</v>
      </c>
      <c r="D40" s="38" t="n">
        <v>180</v>
      </c>
      <c r="E40" s="39" t="n">
        <v>3.5</v>
      </c>
      <c r="F40" s="40" t="n">
        <f aca="false">IF(E40&gt;0,D40/E40,"")</f>
        <v>51.4285714285714</v>
      </c>
      <c r="G40" s="31" t="s">
        <v>393</v>
      </c>
      <c r="H40" s="31"/>
    </row>
    <row r="41" customFormat="false" ht="15" hidden="false" customHeight="false" outlineLevel="0" collapsed="false">
      <c r="A41" s="31" t="s">
        <v>115</v>
      </c>
      <c r="B41" s="31" t="s">
        <v>114</v>
      </c>
      <c r="C41" s="31" t="s">
        <v>488</v>
      </c>
      <c r="D41" s="38" t="n">
        <v>220</v>
      </c>
      <c r="E41" s="39" t="n">
        <v>4.5</v>
      </c>
      <c r="F41" s="40" t="n">
        <f aca="false">IF(E41&gt;0,D41/E41,"")</f>
        <v>48.8888888888889</v>
      </c>
      <c r="G41" s="31" t="s">
        <v>489</v>
      </c>
      <c r="H41" s="31"/>
    </row>
    <row r="42" customFormat="false" ht="23.85" hidden="false" customHeight="false" outlineLevel="0" collapsed="false">
      <c r="A42" s="31" t="s">
        <v>117</v>
      </c>
      <c r="B42" s="31" t="s">
        <v>116</v>
      </c>
      <c r="C42" s="31" t="s">
        <v>490</v>
      </c>
      <c r="D42" s="38" t="n">
        <v>90</v>
      </c>
      <c r="E42" s="39" t="n">
        <v>1.75</v>
      </c>
      <c r="F42" s="40" t="n">
        <f aca="false">IF(E42&gt;0,D42/E42,"")</f>
        <v>51.4285714285714</v>
      </c>
      <c r="G42" s="31" t="s">
        <v>491</v>
      </c>
      <c r="H42" s="31"/>
    </row>
    <row r="43" customFormat="false" ht="15" hidden="false" customHeight="false" outlineLevel="0" collapsed="false">
      <c r="A43" s="31" t="s">
        <v>119</v>
      </c>
      <c r="B43" s="31" t="s">
        <v>118</v>
      </c>
      <c r="C43" s="31" t="s">
        <v>492</v>
      </c>
      <c r="D43" s="38" t="n">
        <v>80</v>
      </c>
      <c r="E43" s="39" t="n">
        <v>1.5</v>
      </c>
      <c r="F43" s="40" t="n">
        <f aca="false">IF(E43&gt;0,D43/E43,"")</f>
        <v>53.3333333333333</v>
      </c>
      <c r="G43" s="31" t="s">
        <v>493</v>
      </c>
      <c r="H43" s="31"/>
    </row>
    <row r="44" customFormat="false" ht="15" hidden="false" customHeight="false" outlineLevel="0" collapsed="false">
      <c r="A44" s="31" t="s">
        <v>121</v>
      </c>
      <c r="B44" s="31" t="s">
        <v>120</v>
      </c>
      <c r="C44" s="31" t="s">
        <v>494</v>
      </c>
      <c r="D44" s="38" t="n">
        <v>70</v>
      </c>
      <c r="E44" s="39" t="n">
        <v>1.5</v>
      </c>
      <c r="F44" s="40" t="n">
        <f aca="false">IF(E44&gt;0,D44/E44,"")</f>
        <v>46.6666666666667</v>
      </c>
      <c r="G44" s="31" t="s">
        <v>493</v>
      </c>
      <c r="H44" s="31"/>
    </row>
    <row r="45" customFormat="false" ht="15" hidden="false" customHeight="false" outlineLevel="0" collapsed="false">
      <c r="A45" s="31" t="s">
        <v>123</v>
      </c>
      <c r="B45" s="31" t="s">
        <v>122</v>
      </c>
      <c r="C45" s="31" t="s">
        <v>495</v>
      </c>
      <c r="D45" s="38" t="n">
        <v>150</v>
      </c>
      <c r="E45" s="39" t="n">
        <v>3</v>
      </c>
      <c r="F45" s="40" t="n">
        <f aca="false">IF(E45&gt;0,D45/E45,"")</f>
        <v>50</v>
      </c>
      <c r="G45" s="31" t="s">
        <v>393</v>
      </c>
      <c r="H45" s="31"/>
    </row>
    <row r="46" customFormat="false" ht="15" hidden="false" customHeight="false" outlineLevel="0" collapsed="false">
      <c r="A46" s="31" t="s">
        <v>125</v>
      </c>
      <c r="B46" s="31" t="s">
        <v>124</v>
      </c>
      <c r="C46" s="31" t="s">
        <v>496</v>
      </c>
      <c r="D46" s="38" t="n">
        <v>120</v>
      </c>
      <c r="E46" s="39" t="n">
        <v>2.5</v>
      </c>
      <c r="F46" s="40" t="n">
        <f aca="false">IF(E46&gt;0,D46/E46,"")</f>
        <v>48</v>
      </c>
      <c r="G46" s="31" t="s">
        <v>393</v>
      </c>
      <c r="H46" s="31"/>
    </row>
    <row r="47" customFormat="false" ht="15" hidden="false" customHeight="false" outlineLevel="0" collapsed="false">
      <c r="A47" s="31" t="s">
        <v>127</v>
      </c>
      <c r="B47" s="31" t="s">
        <v>126</v>
      </c>
      <c r="C47" s="31" t="s">
        <v>497</v>
      </c>
      <c r="D47" s="38" t="n">
        <v>150</v>
      </c>
      <c r="E47" s="39" t="n">
        <v>3</v>
      </c>
      <c r="F47" s="40" t="n">
        <f aca="false">IF(E47&gt;0,D47/E47,"")</f>
        <v>50</v>
      </c>
      <c r="G47" s="31" t="s">
        <v>498</v>
      </c>
      <c r="H47" s="31"/>
    </row>
    <row r="48" customFormat="false" ht="15" hidden="false" customHeight="false" outlineLevel="0" collapsed="false">
      <c r="A48" s="8" t="s">
        <v>499</v>
      </c>
      <c r="B48" s="9"/>
      <c r="C48" s="9"/>
      <c r="D48" s="9"/>
      <c r="E48" s="9"/>
      <c r="F48" s="9"/>
      <c r="G48" s="9"/>
      <c r="H48" s="9"/>
    </row>
    <row r="49" customFormat="false" ht="15" hidden="false" customHeight="false" outlineLevel="0" collapsed="false">
      <c r="A49" s="31" t="s">
        <v>131</v>
      </c>
      <c r="B49" s="31" t="s">
        <v>130</v>
      </c>
      <c r="C49" s="31" t="s">
        <v>500</v>
      </c>
      <c r="D49" s="38" t="n">
        <v>60</v>
      </c>
      <c r="E49" s="39" t="n">
        <v>1.25</v>
      </c>
      <c r="F49" s="40" t="n">
        <f aca="false">IF(E49&gt;0,D49/E49,"")</f>
        <v>48</v>
      </c>
      <c r="G49" s="31" t="s">
        <v>451</v>
      </c>
      <c r="H49" s="31"/>
    </row>
    <row r="50" customFormat="false" ht="15" hidden="false" customHeight="false" outlineLevel="0" collapsed="false">
      <c r="A50" s="31" t="s">
        <v>133</v>
      </c>
      <c r="B50" s="31" t="s">
        <v>132</v>
      </c>
      <c r="C50" s="31" t="s">
        <v>501</v>
      </c>
      <c r="D50" s="38" t="n">
        <v>60</v>
      </c>
      <c r="E50" s="39" t="n">
        <v>1.25</v>
      </c>
      <c r="F50" s="40" t="n">
        <f aca="false">IF(E50&gt;0,D50/E50,"")</f>
        <v>48</v>
      </c>
      <c r="G50" s="31" t="s">
        <v>502</v>
      </c>
      <c r="H50" s="31"/>
    </row>
    <row r="51" customFormat="false" ht="15" hidden="false" customHeight="false" outlineLevel="0" collapsed="false">
      <c r="A51" s="31" t="s">
        <v>135</v>
      </c>
      <c r="B51" s="31" t="s">
        <v>134</v>
      </c>
      <c r="C51" s="31" t="s">
        <v>503</v>
      </c>
      <c r="D51" s="38" t="n">
        <v>20</v>
      </c>
      <c r="E51" s="39" t="n">
        <v>0.4</v>
      </c>
      <c r="F51" s="40" t="n">
        <f aca="false">IF(E51&gt;0,D51/E51,"")</f>
        <v>50</v>
      </c>
      <c r="G51" s="31" t="s">
        <v>451</v>
      </c>
      <c r="H51" s="31"/>
    </row>
    <row r="52" customFormat="false" ht="15" hidden="false" customHeight="false" outlineLevel="0" collapsed="false">
      <c r="A52" s="31" t="s">
        <v>137</v>
      </c>
      <c r="B52" s="31" t="s">
        <v>136</v>
      </c>
      <c r="C52" s="31"/>
      <c r="D52" s="38" t="n">
        <v>30</v>
      </c>
      <c r="E52" s="39" t="n">
        <v>0.6</v>
      </c>
      <c r="F52" s="40" t="n">
        <f aca="false">IF(E52&gt;0,D52/E52,"")</f>
        <v>50</v>
      </c>
      <c r="G52" s="31" t="s">
        <v>451</v>
      </c>
      <c r="H52" s="31"/>
    </row>
    <row r="53" customFormat="false" ht="15" hidden="false" customHeight="false" outlineLevel="0" collapsed="false">
      <c r="A53" s="31" t="s">
        <v>139</v>
      </c>
      <c r="B53" s="31" t="s">
        <v>138</v>
      </c>
      <c r="C53" s="31" t="s">
        <v>504</v>
      </c>
      <c r="D53" s="38" t="n">
        <v>10</v>
      </c>
      <c r="E53" s="39" t="n">
        <v>0.2</v>
      </c>
      <c r="F53" s="40" t="n">
        <f aca="false">IF(E53&gt;0,D53/E53,"")</f>
        <v>50</v>
      </c>
      <c r="G53" s="31" t="s">
        <v>451</v>
      </c>
      <c r="H53" s="31"/>
    </row>
    <row r="54" customFormat="false" ht="15" hidden="false" customHeight="false" outlineLevel="0" collapsed="false">
      <c r="A54" s="31" t="s">
        <v>141</v>
      </c>
      <c r="B54" s="31" t="s">
        <v>140</v>
      </c>
      <c r="C54" s="31" t="s">
        <v>505</v>
      </c>
      <c r="D54" s="38" t="n">
        <v>40</v>
      </c>
      <c r="E54" s="39" t="n">
        <v>0.75</v>
      </c>
      <c r="F54" s="40" t="n">
        <f aca="false">IF(E54&gt;0,D54/E54,"")</f>
        <v>53.3333333333333</v>
      </c>
      <c r="G54" s="31" t="s">
        <v>506</v>
      </c>
      <c r="H54"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58"/>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0"/>
    <col collapsed="false" customWidth="true" hidden="false" outlineLevel="0" max="10" min="10" style="0" width="26"/>
  </cols>
  <sheetData>
    <row r="1" customFormat="false" ht="17.35" hidden="false" customHeight="false" outlineLevel="0" collapsed="false">
      <c r="A1" s="5" t="s">
        <v>507</v>
      </c>
    </row>
    <row r="2" customFormat="false" ht="15" hidden="false" customHeight="false" outlineLevel="0" collapsed="false">
      <c r="A2" s="6" t="s">
        <v>508</v>
      </c>
    </row>
    <row r="4" customFormat="false" ht="15" hidden="false" customHeight="false" outlineLevel="0" collapsed="false">
      <c r="A4" s="8" t="s">
        <v>509</v>
      </c>
      <c r="B4" s="9"/>
      <c r="C4" s="9"/>
      <c r="D4" s="9"/>
      <c r="E4" s="9"/>
      <c r="F4" s="9"/>
      <c r="G4" s="9"/>
      <c r="H4" s="9"/>
      <c r="I4" s="9"/>
      <c r="J4" s="9"/>
    </row>
    <row r="5" customFormat="false" ht="30" hidden="false" customHeight="true" outlineLevel="0" collapsed="false">
      <c r="A5" s="7" t="s">
        <v>427</v>
      </c>
      <c r="B5" s="7" t="s">
        <v>510</v>
      </c>
      <c r="C5" s="7" t="s">
        <v>511</v>
      </c>
      <c r="D5" s="7" t="s">
        <v>512</v>
      </c>
      <c r="E5" s="7" t="s">
        <v>513</v>
      </c>
      <c r="F5" s="7" t="s">
        <v>514</v>
      </c>
      <c r="G5" s="7" t="s">
        <v>515</v>
      </c>
      <c r="H5" s="7" t="s">
        <v>516</v>
      </c>
      <c r="I5" s="7" t="s">
        <v>517</v>
      </c>
      <c r="J5" s="7" t="s">
        <v>518</v>
      </c>
    </row>
    <row r="6" customFormat="false" ht="15" hidden="false" customHeight="false" outlineLevel="0" collapsed="false">
      <c r="A6" s="31" t="s">
        <v>60</v>
      </c>
      <c r="B6" s="31" t="s">
        <v>519</v>
      </c>
      <c r="C6" s="31" t="s">
        <v>520</v>
      </c>
      <c r="D6" s="38" t="n">
        <v>0</v>
      </c>
      <c r="E6" s="39" t="n">
        <v>0</v>
      </c>
      <c r="F6" s="38" t="n">
        <v>0</v>
      </c>
      <c r="G6" s="39" t="n">
        <v>0</v>
      </c>
      <c r="H6" s="38" t="n">
        <v>0</v>
      </c>
      <c r="I6" s="39" t="n">
        <v>0</v>
      </c>
      <c r="J6" s="31" t="s">
        <v>521</v>
      </c>
    </row>
    <row r="7" customFormat="false" ht="23.85" hidden="false" customHeight="false" outlineLevel="0" collapsed="false">
      <c r="A7" s="31" t="s">
        <v>58</v>
      </c>
      <c r="B7" s="31" t="s">
        <v>522</v>
      </c>
      <c r="C7" s="31" t="s">
        <v>523</v>
      </c>
      <c r="D7" s="38" t="n">
        <v>150</v>
      </c>
      <c r="E7" s="39" t="n">
        <v>3</v>
      </c>
      <c r="F7" s="38" t="n">
        <v>8</v>
      </c>
      <c r="G7" s="39" t="n">
        <v>0.15</v>
      </c>
      <c r="H7" s="38" t="n">
        <v>2</v>
      </c>
      <c r="I7" s="39" t="n">
        <v>0.05</v>
      </c>
      <c r="J7" s="31" t="s">
        <v>524</v>
      </c>
    </row>
    <row r="8" customFormat="false" ht="35.05" hidden="false" customHeight="false" outlineLevel="0" collapsed="false">
      <c r="A8" s="31" t="s">
        <v>59</v>
      </c>
      <c r="B8" s="31" t="s">
        <v>525</v>
      </c>
      <c r="C8" s="31" t="s">
        <v>526</v>
      </c>
      <c r="D8" s="38" t="n">
        <v>350</v>
      </c>
      <c r="E8" s="39" t="n">
        <v>7</v>
      </c>
      <c r="F8" s="38" t="n">
        <v>15</v>
      </c>
      <c r="G8" s="39" t="n">
        <v>0.3</v>
      </c>
      <c r="H8" s="38" t="n">
        <v>6</v>
      </c>
      <c r="I8" s="39" t="n">
        <v>0.12</v>
      </c>
      <c r="J8" s="31" t="s">
        <v>527</v>
      </c>
    </row>
    <row r="9" customFormat="false" ht="35.05" hidden="false" customHeight="false" outlineLevel="0" collapsed="false">
      <c r="A9" s="31" t="s">
        <v>528</v>
      </c>
      <c r="B9" s="31" t="s">
        <v>529</v>
      </c>
      <c r="C9" s="31" t="s">
        <v>530</v>
      </c>
      <c r="D9" s="38" t="n">
        <v>650</v>
      </c>
      <c r="E9" s="39" t="n">
        <v>13</v>
      </c>
      <c r="F9" s="38" t="n">
        <v>30</v>
      </c>
      <c r="G9" s="39" t="n">
        <v>0.6</v>
      </c>
      <c r="H9" s="38" t="n">
        <v>10</v>
      </c>
      <c r="I9" s="39" t="n">
        <v>0.2</v>
      </c>
      <c r="J9" s="31" t="s">
        <v>531</v>
      </c>
    </row>
    <row r="10" customFormat="false" ht="35.05" hidden="false" customHeight="false" outlineLevel="0" collapsed="false">
      <c r="A10" s="31" t="s">
        <v>532</v>
      </c>
      <c r="B10" s="31" t="s">
        <v>533</v>
      </c>
      <c r="C10" s="31" t="s">
        <v>534</v>
      </c>
      <c r="D10" s="38" t="n">
        <v>1200</v>
      </c>
      <c r="E10" s="39" t="n">
        <v>24</v>
      </c>
      <c r="F10" s="38" t="n">
        <v>50</v>
      </c>
      <c r="G10" s="39" t="n">
        <v>1</v>
      </c>
      <c r="H10" s="38" t="n">
        <v>15</v>
      </c>
      <c r="I10" s="39" t="n">
        <v>0.3</v>
      </c>
      <c r="J10" s="31" t="s">
        <v>535</v>
      </c>
    </row>
    <row r="12" customFormat="false" ht="15" hidden="false" customHeight="false" outlineLevel="0" collapsed="false">
      <c r="A12" s="8" t="s">
        <v>536</v>
      </c>
      <c r="B12" s="9"/>
      <c r="C12" s="9"/>
      <c r="D12" s="9"/>
      <c r="E12" s="9"/>
      <c r="F12" s="9"/>
      <c r="G12" s="9"/>
      <c r="H12" s="9"/>
      <c r="I12" s="9"/>
      <c r="J12" s="9"/>
    </row>
    <row r="13" customFormat="false" ht="30" hidden="false" customHeight="true" outlineLevel="0" collapsed="false">
      <c r="A13" s="7" t="s">
        <v>427</v>
      </c>
      <c r="B13" s="7" t="s">
        <v>510</v>
      </c>
      <c r="C13" s="7" t="s">
        <v>511</v>
      </c>
      <c r="D13" s="7" t="s">
        <v>512</v>
      </c>
      <c r="E13" s="7" t="s">
        <v>513</v>
      </c>
      <c r="F13" s="7" t="s">
        <v>514</v>
      </c>
      <c r="G13" s="7" t="s">
        <v>515</v>
      </c>
      <c r="H13" s="7"/>
      <c r="I13" s="7"/>
      <c r="J13" s="7" t="s">
        <v>518</v>
      </c>
    </row>
    <row r="14" customFormat="false" ht="15" hidden="false" customHeight="false" outlineLevel="0" collapsed="false">
      <c r="A14" s="31" t="s">
        <v>63</v>
      </c>
      <c r="B14" s="31" t="s">
        <v>537</v>
      </c>
      <c r="C14" s="31"/>
      <c r="D14" s="38" t="n">
        <v>0</v>
      </c>
      <c r="E14" s="39" t="n">
        <v>0</v>
      </c>
      <c r="F14" s="38" t="n">
        <v>0</v>
      </c>
      <c r="G14" s="39" t="n">
        <v>0</v>
      </c>
      <c r="H14" s="31"/>
      <c r="I14" s="31"/>
      <c r="J14" s="31" t="s">
        <v>521</v>
      </c>
    </row>
    <row r="15" customFormat="false" ht="35.05" hidden="false" customHeight="false" outlineLevel="0" collapsed="false">
      <c r="A15" s="31" t="s">
        <v>538</v>
      </c>
      <c r="B15" s="31" t="s">
        <v>539</v>
      </c>
      <c r="C15" s="31" t="s">
        <v>540</v>
      </c>
      <c r="D15" s="38" t="n">
        <v>150</v>
      </c>
      <c r="E15" s="39" t="n">
        <v>3</v>
      </c>
      <c r="F15" s="38" t="n">
        <v>5</v>
      </c>
      <c r="G15" s="39" t="n">
        <v>0.1</v>
      </c>
      <c r="H15" s="31"/>
      <c r="I15" s="31"/>
      <c r="J15" s="31" t="s">
        <v>60</v>
      </c>
    </row>
    <row r="16" customFormat="false" ht="35.05" hidden="false" customHeight="false" outlineLevel="0" collapsed="false">
      <c r="A16" s="31" t="s">
        <v>541</v>
      </c>
      <c r="B16" s="31" t="s">
        <v>542</v>
      </c>
      <c r="C16" s="31" t="s">
        <v>543</v>
      </c>
      <c r="D16" s="38" t="n">
        <v>400</v>
      </c>
      <c r="E16" s="39" t="n">
        <v>8</v>
      </c>
      <c r="F16" s="38" t="n">
        <v>15</v>
      </c>
      <c r="G16" s="39" t="n">
        <v>0.3</v>
      </c>
      <c r="H16" s="31"/>
      <c r="I16" s="31"/>
      <c r="J16" s="31" t="s">
        <v>544</v>
      </c>
    </row>
    <row r="18" customFormat="false" ht="15" hidden="false" customHeight="false" outlineLevel="0" collapsed="false">
      <c r="A18" s="8" t="s">
        <v>545</v>
      </c>
      <c r="B18" s="9"/>
      <c r="C18" s="9"/>
      <c r="D18" s="9"/>
      <c r="E18" s="9"/>
      <c r="F18" s="9"/>
      <c r="G18" s="9"/>
      <c r="H18" s="9"/>
      <c r="I18" s="9"/>
      <c r="J18" s="9"/>
    </row>
    <row r="19" customFormat="false" ht="30" hidden="false" customHeight="true" outlineLevel="0" collapsed="false">
      <c r="A19" s="7" t="s">
        <v>29</v>
      </c>
      <c r="B19" s="7" t="s">
        <v>28</v>
      </c>
      <c r="C19" s="7" t="s">
        <v>384</v>
      </c>
      <c r="D19" s="7" t="s">
        <v>385</v>
      </c>
      <c r="E19" s="7" t="s">
        <v>319</v>
      </c>
      <c r="F19" s="7" t="s">
        <v>386</v>
      </c>
      <c r="G19" s="7" t="s">
        <v>387</v>
      </c>
      <c r="H19" s="7" t="s">
        <v>388</v>
      </c>
    </row>
    <row r="20" customFormat="false" ht="23.85" hidden="false" customHeight="false" outlineLevel="0" collapsed="false">
      <c r="A20" s="31" t="s">
        <v>145</v>
      </c>
      <c r="B20" s="31" t="s">
        <v>144</v>
      </c>
      <c r="C20" s="31" t="s">
        <v>546</v>
      </c>
      <c r="D20" s="38" t="n">
        <v>150</v>
      </c>
      <c r="E20" s="39" t="n">
        <v>3</v>
      </c>
      <c r="F20" s="40" t="n">
        <f aca="false">IF(E20&gt;0,D20/E20,"")</f>
        <v>50</v>
      </c>
      <c r="G20" s="31" t="s">
        <v>393</v>
      </c>
      <c r="H20" s="31"/>
    </row>
    <row r="21" customFormat="false" ht="46.25" hidden="false" customHeight="false" outlineLevel="0" collapsed="false">
      <c r="A21" s="31" t="s">
        <v>147</v>
      </c>
      <c r="B21" s="31" t="s">
        <v>146</v>
      </c>
      <c r="C21" s="31" t="s">
        <v>547</v>
      </c>
      <c r="D21" s="38" t="n">
        <v>200</v>
      </c>
      <c r="E21" s="39" t="n">
        <v>4</v>
      </c>
      <c r="F21" s="40" t="n">
        <f aca="false">IF(E21&gt;0,D21/E21,"")</f>
        <v>50</v>
      </c>
      <c r="G21" s="31" t="s">
        <v>393</v>
      </c>
      <c r="H21" s="31" t="s">
        <v>548</v>
      </c>
    </row>
    <row r="22" customFormat="false" ht="15" hidden="false" customHeight="false" outlineLevel="0" collapsed="false">
      <c r="A22" s="31" t="s">
        <v>149</v>
      </c>
      <c r="B22" s="31" t="s">
        <v>148</v>
      </c>
      <c r="C22" s="31" t="s">
        <v>549</v>
      </c>
      <c r="D22" s="38" t="n">
        <v>90</v>
      </c>
      <c r="E22" s="39" t="n">
        <v>1.75</v>
      </c>
      <c r="F22" s="40" t="n">
        <f aca="false">IF(E22&gt;0,D22/E22,"")</f>
        <v>51.4285714285714</v>
      </c>
      <c r="G22" s="31" t="s">
        <v>451</v>
      </c>
      <c r="H22" s="31"/>
    </row>
    <row r="23" customFormat="false" ht="15" hidden="false" customHeight="false" outlineLevel="0" collapsed="false">
      <c r="A23" s="31" t="s">
        <v>151</v>
      </c>
      <c r="B23" s="31" t="s">
        <v>150</v>
      </c>
      <c r="C23" s="31" t="s">
        <v>550</v>
      </c>
      <c r="D23" s="38" t="n">
        <v>45</v>
      </c>
      <c r="E23" s="39" t="n">
        <v>0.9</v>
      </c>
      <c r="F23" s="40" t="n">
        <f aca="false">IF(E23&gt;0,D23/E23,"")</f>
        <v>50</v>
      </c>
      <c r="G23" s="31" t="s">
        <v>451</v>
      </c>
      <c r="H23" s="31"/>
    </row>
    <row r="24" customFormat="false" ht="15" hidden="false" customHeight="false" outlineLevel="0" collapsed="false">
      <c r="A24" s="31" t="s">
        <v>153</v>
      </c>
      <c r="B24" s="31" t="s">
        <v>152</v>
      </c>
      <c r="C24" s="31" t="s">
        <v>551</v>
      </c>
      <c r="D24" s="38" t="n">
        <v>120</v>
      </c>
      <c r="E24" s="39" t="n">
        <v>2.5</v>
      </c>
      <c r="F24" s="40" t="n">
        <f aca="false">IF(E24&gt;0,D24/E24,"")</f>
        <v>48</v>
      </c>
      <c r="G24" s="31" t="s">
        <v>393</v>
      </c>
      <c r="H24" s="31"/>
    </row>
    <row r="25" customFormat="false" ht="15" hidden="false" customHeight="false" outlineLevel="0" collapsed="false">
      <c r="A25" s="31" t="s">
        <v>155</v>
      </c>
      <c r="B25" s="31" t="s">
        <v>154</v>
      </c>
      <c r="C25" s="31" t="s">
        <v>552</v>
      </c>
      <c r="D25" s="38" t="n">
        <v>150</v>
      </c>
      <c r="E25" s="39" t="n">
        <v>3</v>
      </c>
      <c r="F25" s="40" t="n">
        <f aca="false">IF(E25&gt;0,D25/E25,"")</f>
        <v>50</v>
      </c>
      <c r="G25" s="31" t="s">
        <v>393</v>
      </c>
      <c r="H25" s="31"/>
    </row>
    <row r="26" customFormat="false" ht="23.85" hidden="false" customHeight="false" outlineLevel="0" collapsed="false">
      <c r="A26" s="31" t="s">
        <v>157</v>
      </c>
      <c r="B26" s="31" t="s">
        <v>156</v>
      </c>
      <c r="C26" s="31" t="s">
        <v>553</v>
      </c>
      <c r="D26" s="38" t="n">
        <v>40</v>
      </c>
      <c r="E26" s="39" t="n">
        <v>0.75</v>
      </c>
      <c r="F26" s="40" t="n">
        <f aca="false">IF(E26&gt;0,D26/E26,"")</f>
        <v>53.3333333333333</v>
      </c>
      <c r="G26" s="31" t="s">
        <v>554</v>
      </c>
      <c r="H26" s="31"/>
    </row>
    <row r="27" customFormat="false" ht="23.85" hidden="false" customHeight="false" outlineLevel="0" collapsed="false">
      <c r="A27" s="31" t="s">
        <v>159</v>
      </c>
      <c r="B27" s="31" t="s">
        <v>158</v>
      </c>
      <c r="C27" s="31" t="s">
        <v>555</v>
      </c>
      <c r="D27" s="38" t="n">
        <v>120</v>
      </c>
      <c r="E27" s="39" t="n">
        <v>2.5</v>
      </c>
      <c r="F27" s="40" t="n">
        <f aca="false">IF(E27&gt;0,D27/E27,"")</f>
        <v>48</v>
      </c>
      <c r="G27" s="31" t="s">
        <v>556</v>
      </c>
      <c r="H27" s="31"/>
    </row>
    <row r="28" customFormat="false" ht="23.85" hidden="false" customHeight="false" outlineLevel="0" collapsed="false">
      <c r="A28" s="31" t="s">
        <v>161</v>
      </c>
      <c r="B28" s="31" t="s">
        <v>160</v>
      </c>
      <c r="C28" s="31" t="s">
        <v>557</v>
      </c>
      <c r="D28" s="38" t="n">
        <v>80</v>
      </c>
      <c r="E28" s="39" t="n">
        <v>1.5</v>
      </c>
      <c r="F28" s="40" t="n">
        <f aca="false">IF(E28&gt;0,D28/E28,"")</f>
        <v>53.3333333333333</v>
      </c>
      <c r="G28" s="31" t="s">
        <v>558</v>
      </c>
      <c r="H28" s="31"/>
    </row>
    <row r="29" customFormat="false" ht="15" hidden="false" customHeight="false" outlineLevel="0" collapsed="false">
      <c r="A29" s="31" t="s">
        <v>163</v>
      </c>
      <c r="B29" s="31" t="s">
        <v>162</v>
      </c>
      <c r="C29" s="31" t="s">
        <v>559</v>
      </c>
      <c r="D29" s="38" t="n">
        <v>60</v>
      </c>
      <c r="E29" s="39" t="n">
        <v>1.25</v>
      </c>
      <c r="F29" s="40" t="n">
        <f aca="false">IF(E29&gt;0,D29/E29,"")</f>
        <v>48</v>
      </c>
      <c r="G29" s="31" t="s">
        <v>393</v>
      </c>
      <c r="H29" s="31"/>
    </row>
    <row r="30" customFormat="false" ht="15" hidden="false" customHeight="false" outlineLevel="0" collapsed="false">
      <c r="A30" s="31" t="s">
        <v>165</v>
      </c>
      <c r="B30" s="31" t="s">
        <v>164</v>
      </c>
      <c r="C30" s="31" t="s">
        <v>560</v>
      </c>
      <c r="D30" s="38" t="n">
        <v>4</v>
      </c>
      <c r="E30" s="39" t="n">
        <v>0.08</v>
      </c>
      <c r="F30" s="40" t="n">
        <f aca="false">IF(E30&gt;0,D30/E30,"")</f>
        <v>50</v>
      </c>
      <c r="G30" s="31" t="s">
        <v>561</v>
      </c>
      <c r="H30" s="31"/>
    </row>
    <row r="31" customFormat="false" ht="15" hidden="false" customHeight="false" outlineLevel="0" collapsed="false">
      <c r="A31" s="31" t="s">
        <v>167</v>
      </c>
      <c r="B31" s="31" t="s">
        <v>166</v>
      </c>
      <c r="C31" s="31"/>
      <c r="D31" s="38" t="n">
        <v>150</v>
      </c>
      <c r="E31" s="39" t="n">
        <v>3</v>
      </c>
      <c r="F31" s="40" t="n">
        <f aca="false">IF(E31&gt;0,D31/E31,"")</f>
        <v>50</v>
      </c>
      <c r="G31" s="31" t="s">
        <v>473</v>
      </c>
      <c r="H31" s="31"/>
    </row>
    <row r="32" customFormat="false" ht="23.85" hidden="false" customHeight="false" outlineLevel="0" collapsed="false">
      <c r="A32" s="31" t="s">
        <v>169</v>
      </c>
      <c r="B32" s="31" t="s">
        <v>168</v>
      </c>
      <c r="C32" s="31" t="s">
        <v>562</v>
      </c>
      <c r="D32" s="38" t="n">
        <v>200</v>
      </c>
      <c r="E32" s="39" t="n">
        <v>4</v>
      </c>
      <c r="F32" s="40" t="n">
        <f aca="false">IF(E32&gt;0,D32/E32,"")</f>
        <v>50</v>
      </c>
      <c r="G32" s="31" t="s">
        <v>393</v>
      </c>
      <c r="H32" s="31"/>
    </row>
    <row r="35" customFormat="false" ht="30" hidden="false" customHeight="true" outlineLevel="0" collapsed="false">
      <c r="A35" s="42" t="s">
        <v>563</v>
      </c>
      <c r="B35" s="42"/>
      <c r="C35" s="42"/>
      <c r="D35" s="42"/>
      <c r="E35" s="42"/>
      <c r="F35" s="42"/>
      <c r="G35" s="42"/>
      <c r="H35" s="42"/>
      <c r="I35" s="42"/>
      <c r="J35" s="42"/>
    </row>
    <row r="36" customFormat="false" ht="15" hidden="false" customHeight="false" outlineLevel="0" collapsed="false">
      <c r="A36" s="43" t="s">
        <v>564</v>
      </c>
      <c r="B36" s="43"/>
      <c r="C36" s="43"/>
      <c r="D36" s="43"/>
      <c r="E36" s="43"/>
      <c r="F36" s="43"/>
      <c r="G36" s="43"/>
      <c r="H36" s="43"/>
      <c r="I36" s="43"/>
      <c r="J36" s="43"/>
    </row>
  </sheetData>
  <mergeCells count="2">
    <mergeCell ref="A35:J35"/>
    <mergeCell ref="A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2"/>
    <col collapsed="false" customWidth="true" hidden="false" outlineLevel="0" max="6" min="4" style="0" width="11"/>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5" t="s">
        <v>172</v>
      </c>
    </row>
    <row r="2" customFormat="false" ht="15" hidden="false" customHeight="false" outlineLevel="0" collapsed="false">
      <c r="A2" s="6" t="s">
        <v>565</v>
      </c>
    </row>
    <row r="4" customFormat="false" ht="30" hidden="false" customHeight="true" outlineLevel="0" collapsed="false">
      <c r="A4" s="7" t="s">
        <v>29</v>
      </c>
      <c r="B4" s="7" t="s">
        <v>28</v>
      </c>
      <c r="C4" s="7" t="s">
        <v>384</v>
      </c>
      <c r="D4" s="7" t="s">
        <v>385</v>
      </c>
      <c r="E4" s="7" t="s">
        <v>319</v>
      </c>
      <c r="F4" s="7" t="s">
        <v>386</v>
      </c>
      <c r="G4" s="7" t="s">
        <v>387</v>
      </c>
      <c r="H4" s="7" t="s">
        <v>388</v>
      </c>
    </row>
    <row r="5" customFormat="false" ht="15" hidden="false" customHeight="false" outlineLevel="0" collapsed="false">
      <c r="A5" s="8" t="s">
        <v>566</v>
      </c>
      <c r="B5" s="9"/>
      <c r="C5" s="9"/>
      <c r="D5" s="9"/>
      <c r="E5" s="9"/>
      <c r="F5" s="9"/>
      <c r="G5" s="9"/>
      <c r="H5" s="9"/>
    </row>
    <row r="6" customFormat="false" ht="35.05" hidden="false" customHeight="false" outlineLevel="0" collapsed="false">
      <c r="A6" s="31" t="s">
        <v>567</v>
      </c>
      <c r="B6" s="31" t="s">
        <v>568</v>
      </c>
      <c r="C6" s="31" t="s">
        <v>569</v>
      </c>
      <c r="D6" s="38" t="n">
        <v>1100</v>
      </c>
      <c r="E6" s="39" t="n">
        <v>20</v>
      </c>
      <c r="F6" s="40" t="n">
        <f aca="false">IF(E6&gt;0,D6/E6,"")</f>
        <v>55</v>
      </c>
      <c r="G6" s="31" t="s">
        <v>393</v>
      </c>
      <c r="H6" s="31"/>
    </row>
    <row r="7" customFormat="false" ht="15" hidden="false" customHeight="false" outlineLevel="0" collapsed="false">
      <c r="A7" s="8" t="s">
        <v>570</v>
      </c>
      <c r="B7" s="9"/>
      <c r="C7" s="9"/>
      <c r="D7" s="9"/>
      <c r="E7" s="9"/>
      <c r="F7" s="9"/>
      <c r="G7" s="9"/>
      <c r="H7" s="9"/>
    </row>
    <row r="8" customFormat="false" ht="23.85" hidden="false" customHeight="false" outlineLevel="0" collapsed="false">
      <c r="A8" s="31" t="s">
        <v>571</v>
      </c>
      <c r="B8" s="31" t="s">
        <v>572</v>
      </c>
      <c r="C8" s="31" t="s">
        <v>573</v>
      </c>
      <c r="D8" s="38" t="n">
        <v>3</v>
      </c>
      <c r="E8" s="39" t="n">
        <v>0.06</v>
      </c>
      <c r="F8" s="40" t="n">
        <f aca="false">IF(E8&gt;0,D8/E8,"")</f>
        <v>50</v>
      </c>
      <c r="G8" s="31" t="s">
        <v>561</v>
      </c>
      <c r="H8" s="31" t="s">
        <v>574</v>
      </c>
    </row>
    <row r="9" customFormat="false" ht="23.85" hidden="false" customHeight="false" outlineLevel="0" collapsed="false">
      <c r="A9" s="31" t="s">
        <v>575</v>
      </c>
      <c r="B9" s="31" t="s">
        <v>576</v>
      </c>
      <c r="C9" s="31" t="s">
        <v>577</v>
      </c>
      <c r="D9" s="38" t="n">
        <v>120</v>
      </c>
      <c r="E9" s="39" t="n">
        <v>2.5</v>
      </c>
      <c r="F9" s="40" t="n">
        <f aca="false">IF(E9&gt;0,D9/E9,"")</f>
        <v>48</v>
      </c>
      <c r="G9" s="31" t="s">
        <v>393</v>
      </c>
      <c r="H9" s="31" t="s">
        <v>578</v>
      </c>
    </row>
    <row r="10" customFormat="false" ht="23.85" hidden="false" customHeight="false" outlineLevel="0" collapsed="false">
      <c r="A10" s="31" t="s">
        <v>579</v>
      </c>
      <c r="B10" s="31" t="s">
        <v>580</v>
      </c>
      <c r="C10" s="31" t="s">
        <v>581</v>
      </c>
      <c r="D10" s="41" t="n">
        <v>0.5</v>
      </c>
      <c r="E10" s="39" t="n">
        <v>0.01</v>
      </c>
      <c r="F10" s="40" t="n">
        <f aca="false">IF(E10&gt;0,D10/E10,"")</f>
        <v>50</v>
      </c>
      <c r="G10" s="31" t="s">
        <v>582</v>
      </c>
      <c r="H10" s="31" t="s">
        <v>583</v>
      </c>
    </row>
    <row r="11" customFormat="false" ht="15" hidden="false" customHeight="false" outlineLevel="0" collapsed="false">
      <c r="A11" s="31" t="s">
        <v>584</v>
      </c>
      <c r="B11" s="31" t="s">
        <v>585</v>
      </c>
      <c r="C11" s="31" t="s">
        <v>586</v>
      </c>
      <c r="D11" s="38" t="n">
        <v>15</v>
      </c>
      <c r="E11" s="39" t="n">
        <v>0.3</v>
      </c>
      <c r="F11" s="40" t="n">
        <f aca="false">IF(E11&gt;0,D11/E11,"")</f>
        <v>50</v>
      </c>
      <c r="G11" s="31" t="s">
        <v>587</v>
      </c>
      <c r="H11" s="31"/>
    </row>
    <row r="12" customFormat="false" ht="15" hidden="false" customHeight="false" outlineLevel="0" collapsed="false">
      <c r="A12" s="8" t="s">
        <v>588</v>
      </c>
      <c r="B12" s="9"/>
      <c r="C12" s="9"/>
      <c r="D12" s="9"/>
      <c r="E12" s="9"/>
      <c r="F12" s="9"/>
      <c r="G12" s="9"/>
      <c r="H12" s="9"/>
    </row>
    <row r="13" customFormat="false" ht="15" hidden="false" customHeight="false" outlineLevel="0" collapsed="false">
      <c r="A13" s="31" t="s">
        <v>184</v>
      </c>
      <c r="B13" s="31" t="s">
        <v>183</v>
      </c>
      <c r="C13" s="31" t="s">
        <v>589</v>
      </c>
      <c r="D13" s="38" t="n">
        <v>150</v>
      </c>
      <c r="E13" s="39" t="n">
        <v>3</v>
      </c>
      <c r="F13" s="40" t="n">
        <f aca="false">IF(E13&gt;0,D13/E13,"")</f>
        <v>50</v>
      </c>
      <c r="G13" s="31" t="s">
        <v>393</v>
      </c>
      <c r="H13" s="31"/>
    </row>
    <row r="14" customFormat="false" ht="15" hidden="false" customHeight="false" outlineLevel="0" collapsed="false">
      <c r="A14" s="31" t="s">
        <v>186</v>
      </c>
      <c r="B14" s="31" t="s">
        <v>185</v>
      </c>
      <c r="C14" s="31" t="s">
        <v>590</v>
      </c>
      <c r="D14" s="38" t="n">
        <v>200</v>
      </c>
      <c r="E14" s="39" t="n">
        <v>4</v>
      </c>
      <c r="F14" s="40" t="n">
        <f aca="false">IF(E14&gt;0,D14/E14,"")</f>
        <v>50</v>
      </c>
      <c r="G14" s="31" t="s">
        <v>393</v>
      </c>
      <c r="H14" s="31"/>
    </row>
    <row r="15" customFormat="false" ht="15" hidden="false" customHeight="false" outlineLevel="0" collapsed="false">
      <c r="A15" s="31" t="s">
        <v>188</v>
      </c>
      <c r="B15" s="31" t="s">
        <v>187</v>
      </c>
      <c r="C15" s="31" t="s">
        <v>591</v>
      </c>
      <c r="D15" s="38" t="n">
        <v>400</v>
      </c>
      <c r="E15" s="39" t="n">
        <v>8</v>
      </c>
      <c r="F15" s="40" t="n">
        <f aca="false">IF(E15&gt;0,D15/E15,"")</f>
        <v>50</v>
      </c>
      <c r="G15" s="31" t="s">
        <v>393</v>
      </c>
      <c r="H15" s="31"/>
    </row>
    <row r="16" customFormat="false" ht="15" hidden="false" customHeight="false" outlineLevel="0" collapsed="false">
      <c r="A16" s="31" t="s">
        <v>190</v>
      </c>
      <c r="B16" s="31" t="s">
        <v>189</v>
      </c>
      <c r="C16" s="31" t="s">
        <v>592</v>
      </c>
      <c r="D16" s="38" t="n">
        <v>150</v>
      </c>
      <c r="E16" s="39" t="n">
        <v>3</v>
      </c>
      <c r="F16" s="40" t="n">
        <f aca="false">IF(E16&gt;0,D16/E16,"")</f>
        <v>50</v>
      </c>
      <c r="G16" s="31" t="s">
        <v>393</v>
      </c>
      <c r="H16" s="31"/>
    </row>
    <row r="17" customFormat="false" ht="15" hidden="false" customHeight="false" outlineLevel="0" collapsed="false">
      <c r="A17" s="31" t="s">
        <v>192</v>
      </c>
      <c r="B17" s="31" t="s">
        <v>191</v>
      </c>
      <c r="C17" s="31" t="s">
        <v>593</v>
      </c>
      <c r="D17" s="38" t="n">
        <v>300</v>
      </c>
      <c r="E17" s="39" t="n">
        <v>6</v>
      </c>
      <c r="F17" s="40" t="n">
        <f aca="false">IF(E17&gt;0,D17/E17,"")</f>
        <v>50</v>
      </c>
      <c r="G17" s="31" t="s">
        <v>393</v>
      </c>
      <c r="H17" s="31"/>
    </row>
    <row r="18" customFormat="false" ht="15" hidden="false" customHeight="false" outlineLevel="0" collapsed="false">
      <c r="A18" s="31" t="s">
        <v>194</v>
      </c>
      <c r="B18" s="31" t="s">
        <v>193</v>
      </c>
      <c r="C18" s="31" t="s">
        <v>594</v>
      </c>
      <c r="D18" s="38" t="n">
        <v>450</v>
      </c>
      <c r="E18" s="39" t="n">
        <v>9</v>
      </c>
      <c r="F18" s="40" t="n">
        <f aca="false">IF(E18&gt;0,D18/E18,"")</f>
        <v>50</v>
      </c>
      <c r="G18" s="31" t="s">
        <v>595</v>
      </c>
      <c r="H18" s="31" t="s">
        <v>596</v>
      </c>
    </row>
    <row r="19" customFormat="false" ht="15" hidden="false" customHeight="false" outlineLevel="0" collapsed="false">
      <c r="A19" s="31" t="s">
        <v>196</v>
      </c>
      <c r="B19" s="31" t="s">
        <v>195</v>
      </c>
      <c r="C19" s="31"/>
      <c r="D19" s="38" t="n">
        <v>80</v>
      </c>
      <c r="E19" s="39" t="n">
        <v>1.5</v>
      </c>
      <c r="F19" s="40" t="n">
        <f aca="false">IF(E19&gt;0,D19/E19,"")</f>
        <v>53.3333333333333</v>
      </c>
      <c r="G19" s="31" t="s">
        <v>393</v>
      </c>
      <c r="H19" s="31"/>
    </row>
    <row r="20" customFormat="false" ht="15" hidden="false" customHeight="false" outlineLevel="0" collapsed="false">
      <c r="A20" s="31" t="s">
        <v>198</v>
      </c>
      <c r="B20" s="31" t="s">
        <v>197</v>
      </c>
      <c r="C20" s="31"/>
      <c r="D20" s="38" t="n">
        <v>150</v>
      </c>
      <c r="E20" s="39" t="n">
        <v>3</v>
      </c>
      <c r="F20" s="40" t="n">
        <f aca="false">IF(E20&gt;0,D20/E20,"")</f>
        <v>50</v>
      </c>
      <c r="G20" s="31" t="s">
        <v>393</v>
      </c>
      <c r="H20" s="31"/>
    </row>
    <row r="21" customFormat="false" ht="15" hidden="false" customHeight="false" outlineLevel="0" collapsed="false">
      <c r="A21" s="31" t="s">
        <v>200</v>
      </c>
      <c r="B21" s="31" t="s">
        <v>199</v>
      </c>
      <c r="C21" s="31" t="s">
        <v>597</v>
      </c>
      <c r="D21" s="38" t="n">
        <v>150</v>
      </c>
      <c r="E21" s="39" t="n">
        <v>3</v>
      </c>
      <c r="F21" s="40" t="n">
        <f aca="false">IF(E21&gt;0,D21/E21,"")</f>
        <v>50</v>
      </c>
      <c r="G21" s="31" t="s">
        <v>393</v>
      </c>
      <c r="H21" s="31"/>
    </row>
    <row r="22" customFormat="false" ht="15" hidden="false" customHeight="false" outlineLevel="0" collapsed="false">
      <c r="A22" s="31" t="s">
        <v>202</v>
      </c>
      <c r="B22" s="31" t="s">
        <v>201</v>
      </c>
      <c r="C22" s="31"/>
      <c r="D22" s="38" t="n">
        <v>120</v>
      </c>
      <c r="E22" s="39" t="n">
        <v>2.5</v>
      </c>
      <c r="F22" s="40" t="n">
        <f aca="false">IF(E22&gt;0,D22/E22,"")</f>
        <v>48</v>
      </c>
      <c r="G22" s="31" t="s">
        <v>393</v>
      </c>
      <c r="H22"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2"/>
    <col collapsed="false" customWidth="true" hidden="false" outlineLevel="0" max="6" min="4" style="0" width="11"/>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5" t="s">
        <v>598</v>
      </c>
    </row>
    <row r="2" customFormat="false" ht="15" hidden="false" customHeight="false" outlineLevel="0" collapsed="false">
      <c r="A2" s="6" t="s">
        <v>599</v>
      </c>
    </row>
    <row r="4" customFormat="false" ht="30" hidden="false" customHeight="true" outlineLevel="0" collapsed="false">
      <c r="A4" s="7" t="s">
        <v>29</v>
      </c>
      <c r="B4" s="7" t="s">
        <v>28</v>
      </c>
      <c r="C4" s="7" t="s">
        <v>384</v>
      </c>
      <c r="D4" s="7" t="s">
        <v>385</v>
      </c>
      <c r="E4" s="7" t="s">
        <v>319</v>
      </c>
      <c r="F4" s="7" t="s">
        <v>386</v>
      </c>
      <c r="G4" s="7" t="s">
        <v>387</v>
      </c>
      <c r="H4" s="7" t="s">
        <v>388</v>
      </c>
    </row>
    <row r="5" customFormat="false" ht="15" hidden="false" customHeight="false" outlineLevel="0" collapsed="false">
      <c r="A5" s="8" t="s">
        <v>600</v>
      </c>
      <c r="B5" s="9"/>
      <c r="C5" s="9"/>
      <c r="D5" s="9"/>
      <c r="E5" s="9"/>
      <c r="F5" s="9"/>
      <c r="G5" s="9"/>
      <c r="H5" s="9"/>
    </row>
    <row r="6" customFormat="false" ht="23.85" hidden="false" customHeight="false" outlineLevel="0" collapsed="false">
      <c r="A6" s="31" t="s">
        <v>601</v>
      </c>
      <c r="B6" s="31" t="s">
        <v>602</v>
      </c>
      <c r="C6" s="31" t="s">
        <v>603</v>
      </c>
      <c r="D6" s="38" t="n">
        <v>900</v>
      </c>
      <c r="E6" s="39" t="n">
        <v>18</v>
      </c>
      <c r="F6" s="40" t="n">
        <f aca="false">IF(E6&gt;0,D6/E6,"")</f>
        <v>50</v>
      </c>
      <c r="G6" s="31" t="s">
        <v>393</v>
      </c>
      <c r="H6" s="31" t="s">
        <v>604</v>
      </c>
    </row>
    <row r="7" customFormat="false" ht="15" hidden="false" customHeight="false" outlineLevel="0" collapsed="false">
      <c r="A7" s="8" t="s">
        <v>605</v>
      </c>
      <c r="B7" s="9"/>
      <c r="C7" s="9"/>
      <c r="D7" s="9"/>
      <c r="E7" s="9"/>
      <c r="F7" s="9"/>
      <c r="G7" s="9"/>
      <c r="H7" s="9"/>
    </row>
    <row r="8" customFormat="false" ht="15" hidden="false" customHeight="false" outlineLevel="0" collapsed="false">
      <c r="A8" s="31" t="s">
        <v>210</v>
      </c>
      <c r="B8" s="31" t="s">
        <v>209</v>
      </c>
      <c r="C8" s="31" t="s">
        <v>606</v>
      </c>
      <c r="D8" s="38" t="n">
        <v>350</v>
      </c>
      <c r="E8" s="39" t="n">
        <v>7</v>
      </c>
      <c r="F8" s="40" t="n">
        <f aca="false">IF(E8&gt;0,D8/E8,"")</f>
        <v>50</v>
      </c>
      <c r="G8" s="31" t="s">
        <v>607</v>
      </c>
      <c r="H8" s="31"/>
    </row>
    <row r="9" customFormat="false" ht="15" hidden="false" customHeight="false" outlineLevel="0" collapsed="false">
      <c r="A9" s="31" t="s">
        <v>212</v>
      </c>
      <c r="B9" s="31" t="s">
        <v>211</v>
      </c>
      <c r="C9" s="31" t="s">
        <v>608</v>
      </c>
      <c r="D9" s="38" t="n">
        <v>400</v>
      </c>
      <c r="E9" s="39" t="n">
        <v>8</v>
      </c>
      <c r="F9" s="40" t="n">
        <f aca="false">IF(E9&gt;0,D9/E9,"")</f>
        <v>50</v>
      </c>
      <c r="G9" s="31" t="s">
        <v>607</v>
      </c>
      <c r="H9" s="31"/>
    </row>
    <row r="10" customFormat="false" ht="15" hidden="false" customHeight="false" outlineLevel="0" collapsed="false">
      <c r="A10" s="31" t="s">
        <v>214</v>
      </c>
      <c r="B10" s="31" t="s">
        <v>213</v>
      </c>
      <c r="C10" s="31" t="s">
        <v>609</v>
      </c>
      <c r="D10" s="38" t="n">
        <v>450</v>
      </c>
      <c r="E10" s="39" t="n">
        <v>9</v>
      </c>
      <c r="F10" s="40" t="n">
        <f aca="false">IF(E10&gt;0,D10/E10,"")</f>
        <v>50</v>
      </c>
      <c r="G10" s="31" t="s">
        <v>607</v>
      </c>
      <c r="H10" s="31" t="s">
        <v>610</v>
      </c>
    </row>
    <row r="11" customFormat="false" ht="15" hidden="false" customHeight="false" outlineLevel="0" collapsed="false">
      <c r="A11" s="31" t="s">
        <v>216</v>
      </c>
      <c r="B11" s="31" t="s">
        <v>215</v>
      </c>
      <c r="C11" s="31" t="s">
        <v>611</v>
      </c>
      <c r="D11" s="38" t="n">
        <v>250</v>
      </c>
      <c r="E11" s="39" t="n">
        <v>5</v>
      </c>
      <c r="F11" s="40" t="n">
        <f aca="false">IF(E11&gt;0,D11/E11,"")</f>
        <v>50</v>
      </c>
      <c r="G11" s="31" t="s">
        <v>607</v>
      </c>
      <c r="H11" s="31"/>
    </row>
    <row r="12" customFormat="false" ht="15" hidden="false" customHeight="false" outlineLevel="0" collapsed="false">
      <c r="A12" s="31" t="s">
        <v>218</v>
      </c>
      <c r="B12" s="31" t="s">
        <v>217</v>
      </c>
      <c r="C12" s="31"/>
      <c r="D12" s="38" t="n">
        <v>350</v>
      </c>
      <c r="E12" s="39" t="n">
        <v>7</v>
      </c>
      <c r="F12" s="40" t="n">
        <f aca="false">IF(E12&gt;0,D12/E12,"")</f>
        <v>50</v>
      </c>
      <c r="G12" s="31" t="s">
        <v>607</v>
      </c>
      <c r="H12" s="31"/>
    </row>
    <row r="13" customFormat="false" ht="15" hidden="false" customHeight="false" outlineLevel="0" collapsed="false">
      <c r="A13" s="31" t="s">
        <v>220</v>
      </c>
      <c r="B13" s="31" t="s">
        <v>219</v>
      </c>
      <c r="C13" s="31" t="s">
        <v>612</v>
      </c>
      <c r="D13" s="38" t="n">
        <v>200</v>
      </c>
      <c r="E13" s="39" t="n">
        <v>4</v>
      </c>
      <c r="F13" s="40" t="n">
        <f aca="false">IF(E13&gt;0,D13/E13,"")</f>
        <v>50</v>
      </c>
      <c r="G13" s="31" t="s">
        <v>607</v>
      </c>
      <c r="H13" s="31"/>
    </row>
    <row r="14" customFormat="false" ht="15" hidden="false" customHeight="false" outlineLevel="0" collapsed="false">
      <c r="A14" s="8" t="s">
        <v>613</v>
      </c>
      <c r="B14" s="9"/>
      <c r="C14" s="9"/>
      <c r="D14" s="9"/>
      <c r="E14" s="9"/>
      <c r="F14" s="9"/>
      <c r="G14" s="9"/>
      <c r="H14" s="9"/>
    </row>
    <row r="15" customFormat="false" ht="15" hidden="false" customHeight="false" outlineLevel="0" collapsed="false">
      <c r="A15" s="31" t="s">
        <v>222</v>
      </c>
      <c r="B15" s="31" t="s">
        <v>221</v>
      </c>
      <c r="C15" s="31" t="s">
        <v>614</v>
      </c>
      <c r="D15" s="38" t="n">
        <v>450</v>
      </c>
      <c r="E15" s="39" t="n">
        <v>9</v>
      </c>
      <c r="F15" s="40" t="n">
        <f aca="false">IF(E15&gt;0,D15/E15,"")</f>
        <v>50</v>
      </c>
      <c r="G15" s="31" t="s">
        <v>607</v>
      </c>
      <c r="H15" s="31"/>
    </row>
    <row r="16" customFormat="false" ht="15" hidden="false" customHeight="false" outlineLevel="0" collapsed="false">
      <c r="A16" s="31" t="s">
        <v>224</v>
      </c>
      <c r="B16" s="31" t="s">
        <v>223</v>
      </c>
      <c r="C16" s="31" t="s">
        <v>615</v>
      </c>
      <c r="D16" s="38" t="n">
        <v>400</v>
      </c>
      <c r="E16" s="39" t="n">
        <v>8</v>
      </c>
      <c r="F16" s="40" t="n">
        <f aca="false">IF(E16&gt;0,D16/E16,"")</f>
        <v>50</v>
      </c>
      <c r="G16" s="31" t="s">
        <v>607</v>
      </c>
      <c r="H16" s="31"/>
    </row>
    <row r="17" customFormat="false" ht="15" hidden="false" customHeight="false" outlineLevel="0" collapsed="false">
      <c r="A17" s="31" t="s">
        <v>226</v>
      </c>
      <c r="B17" s="31" t="s">
        <v>225</v>
      </c>
      <c r="C17" s="31" t="s">
        <v>616</v>
      </c>
      <c r="D17" s="38" t="n">
        <v>500</v>
      </c>
      <c r="E17" s="39" t="n">
        <v>10</v>
      </c>
      <c r="F17" s="40" t="n">
        <f aca="false">IF(E17&gt;0,D17/E17,"")</f>
        <v>50</v>
      </c>
      <c r="G17" s="31" t="s">
        <v>607</v>
      </c>
      <c r="H17" s="31"/>
    </row>
    <row r="18" customFormat="false" ht="15" hidden="false" customHeight="false" outlineLevel="0" collapsed="false">
      <c r="A18" s="31" t="s">
        <v>228</v>
      </c>
      <c r="B18" s="31" t="s">
        <v>227</v>
      </c>
      <c r="C18" s="31" t="s">
        <v>617</v>
      </c>
      <c r="D18" s="38" t="n">
        <v>500</v>
      </c>
      <c r="E18" s="39" t="n">
        <v>10</v>
      </c>
      <c r="F18" s="40" t="n">
        <f aca="false">IF(E18&gt;0,D18/E18,"")</f>
        <v>50</v>
      </c>
      <c r="G18" s="31" t="s">
        <v>607</v>
      </c>
      <c r="H18" s="31"/>
    </row>
    <row r="19" customFormat="false" ht="15" hidden="false" customHeight="false" outlineLevel="0" collapsed="false">
      <c r="A19" s="31" t="s">
        <v>230</v>
      </c>
      <c r="B19" s="31" t="s">
        <v>229</v>
      </c>
      <c r="C19" s="31"/>
      <c r="D19" s="38" t="n">
        <v>300</v>
      </c>
      <c r="E19" s="39" t="n">
        <v>6</v>
      </c>
      <c r="F19" s="40" t="n">
        <f aca="false">IF(E19&gt;0,D19/E19,"")</f>
        <v>50</v>
      </c>
      <c r="G19" s="31" t="s">
        <v>607</v>
      </c>
      <c r="H19" s="31"/>
    </row>
    <row r="20" customFormat="false" ht="15" hidden="false" customHeight="false" outlineLevel="0" collapsed="false">
      <c r="A20" s="31" t="s">
        <v>232</v>
      </c>
      <c r="B20" s="31" t="s">
        <v>231</v>
      </c>
      <c r="C20" s="31" t="s">
        <v>618</v>
      </c>
      <c r="D20" s="38" t="n">
        <v>350</v>
      </c>
      <c r="E20" s="39" t="n">
        <v>7</v>
      </c>
      <c r="F20" s="40" t="n">
        <f aca="false">IF(E20&gt;0,D20/E20,"")</f>
        <v>50</v>
      </c>
      <c r="G20" s="31" t="s">
        <v>607</v>
      </c>
      <c r="H20" s="31"/>
    </row>
    <row r="21" customFormat="false" ht="15" hidden="false" customHeight="false" outlineLevel="0" collapsed="false">
      <c r="A21" s="31" t="s">
        <v>234</v>
      </c>
      <c r="B21" s="31" t="s">
        <v>233</v>
      </c>
      <c r="C21" s="31"/>
      <c r="D21" s="38" t="n">
        <v>250</v>
      </c>
      <c r="E21" s="39" t="n">
        <v>5</v>
      </c>
      <c r="F21" s="40" t="n">
        <f aca="false">IF(E21&gt;0,D21/E21,"")</f>
        <v>50</v>
      </c>
      <c r="G21" s="31" t="s">
        <v>607</v>
      </c>
      <c r="H21" s="31"/>
    </row>
    <row r="22" customFormat="false" ht="15" hidden="false" customHeight="false" outlineLevel="0" collapsed="false">
      <c r="A22" s="31" t="s">
        <v>236</v>
      </c>
      <c r="B22" s="31" t="s">
        <v>235</v>
      </c>
      <c r="C22" s="31" t="s">
        <v>619</v>
      </c>
      <c r="D22" s="38" t="n">
        <v>300</v>
      </c>
      <c r="E22" s="39" t="n">
        <v>6</v>
      </c>
      <c r="F22" s="40" t="n">
        <f aca="false">IF(E22&gt;0,D22/E22,"")</f>
        <v>50</v>
      </c>
      <c r="G22" s="31" t="s">
        <v>607</v>
      </c>
      <c r="H22" s="31"/>
    </row>
    <row r="23" customFormat="false" ht="15" hidden="false" customHeight="false" outlineLevel="0" collapsed="false">
      <c r="A23" s="8" t="s">
        <v>620</v>
      </c>
      <c r="B23" s="9"/>
      <c r="C23" s="9"/>
      <c r="D23" s="9"/>
      <c r="E23" s="9"/>
      <c r="F23" s="9"/>
      <c r="G23" s="9"/>
      <c r="H23" s="9"/>
    </row>
    <row r="24" customFormat="false" ht="23.85" hidden="false" customHeight="false" outlineLevel="0" collapsed="false">
      <c r="A24" s="31" t="s">
        <v>238</v>
      </c>
      <c r="B24" s="31" t="s">
        <v>237</v>
      </c>
      <c r="C24" s="31"/>
      <c r="D24" s="38" t="n">
        <v>600</v>
      </c>
      <c r="E24" s="39" t="n">
        <v>12</v>
      </c>
      <c r="F24" s="40" t="n">
        <f aca="false">IF(E24&gt;0,D24/E24,"")</f>
        <v>50</v>
      </c>
      <c r="G24" s="31" t="s">
        <v>607</v>
      </c>
      <c r="H24" s="31" t="s">
        <v>621</v>
      </c>
    </row>
    <row r="25" customFormat="false" ht="15" hidden="false" customHeight="false" outlineLevel="0" collapsed="false">
      <c r="A25" s="31" t="s">
        <v>240</v>
      </c>
      <c r="B25" s="31" t="s">
        <v>239</v>
      </c>
      <c r="C25" s="31" t="s">
        <v>622</v>
      </c>
      <c r="D25" s="38" t="n">
        <v>450</v>
      </c>
      <c r="E25" s="39" t="n">
        <v>9</v>
      </c>
      <c r="F25" s="40" t="n">
        <f aca="false">IF(E25&gt;0,D25/E25,"")</f>
        <v>50</v>
      </c>
      <c r="G25" s="31" t="s">
        <v>607</v>
      </c>
      <c r="H25" s="31"/>
    </row>
    <row r="26" customFormat="false" ht="15" hidden="false" customHeight="false" outlineLevel="0" collapsed="false">
      <c r="A26" s="31" t="s">
        <v>242</v>
      </c>
      <c r="B26" s="31" t="s">
        <v>241</v>
      </c>
      <c r="C26" s="31"/>
      <c r="D26" s="38" t="n">
        <v>450</v>
      </c>
      <c r="E26" s="39" t="n">
        <v>9</v>
      </c>
      <c r="F26" s="40" t="n">
        <f aca="false">IF(E26&gt;0,D26/E26,"")</f>
        <v>50</v>
      </c>
      <c r="G26" s="31" t="s">
        <v>607</v>
      </c>
      <c r="H26" s="31"/>
    </row>
    <row r="27" customFormat="false" ht="15" hidden="false" customHeight="false" outlineLevel="0" collapsed="false">
      <c r="A27" s="31" t="s">
        <v>244</v>
      </c>
      <c r="B27" s="31" t="s">
        <v>243</v>
      </c>
      <c r="C27" s="31" t="s">
        <v>623</v>
      </c>
      <c r="D27" s="38" t="n">
        <v>300</v>
      </c>
      <c r="E27" s="39" t="n">
        <v>6</v>
      </c>
      <c r="F27" s="40" t="n">
        <f aca="false">IF(E27&gt;0,D27/E27,"")</f>
        <v>50</v>
      </c>
      <c r="G27" s="31" t="s">
        <v>607</v>
      </c>
      <c r="H27" s="31"/>
    </row>
    <row r="28" customFormat="false" ht="15" hidden="false" customHeight="false" outlineLevel="0" collapsed="false">
      <c r="A28" s="31" t="s">
        <v>246</v>
      </c>
      <c r="B28" s="31" t="s">
        <v>245</v>
      </c>
      <c r="C28" s="31"/>
      <c r="D28" s="38" t="n">
        <v>250</v>
      </c>
      <c r="E28" s="39" t="n">
        <v>5</v>
      </c>
      <c r="F28" s="40" t="n">
        <f aca="false">IF(E28&gt;0,D28/E28,"")</f>
        <v>50</v>
      </c>
      <c r="G28" s="31" t="s">
        <v>607</v>
      </c>
      <c r="H28" s="31" t="s">
        <v>624</v>
      </c>
    </row>
    <row r="29" customFormat="false" ht="15" hidden="false" customHeight="false" outlineLevel="0" collapsed="false">
      <c r="A29" s="31" t="s">
        <v>248</v>
      </c>
      <c r="B29" s="31" t="s">
        <v>247</v>
      </c>
      <c r="C29" s="31" t="s">
        <v>625</v>
      </c>
      <c r="D29" s="38" t="n">
        <v>600</v>
      </c>
      <c r="E29" s="39" t="n">
        <v>12</v>
      </c>
      <c r="F29" s="40" t="n">
        <f aca="false">IF(E29&gt;0,D29/E29,"")</f>
        <v>50</v>
      </c>
      <c r="G29" s="31" t="s">
        <v>607</v>
      </c>
      <c r="H29" s="31"/>
    </row>
    <row r="30" customFormat="false" ht="15" hidden="false" customHeight="false" outlineLevel="0" collapsed="false">
      <c r="A30" s="8" t="s">
        <v>626</v>
      </c>
      <c r="B30" s="9"/>
      <c r="C30" s="9"/>
      <c r="D30" s="9"/>
      <c r="E30" s="9"/>
      <c r="F30" s="9"/>
      <c r="G30" s="9"/>
      <c r="H30" s="9"/>
    </row>
    <row r="31" customFormat="false" ht="23.85" hidden="false" customHeight="false" outlineLevel="0" collapsed="false">
      <c r="A31" s="31" t="s">
        <v>250</v>
      </c>
      <c r="B31" s="31" t="s">
        <v>249</v>
      </c>
      <c r="C31" s="31" t="s">
        <v>627</v>
      </c>
      <c r="D31" s="38" t="n">
        <v>500</v>
      </c>
      <c r="E31" s="39" t="n">
        <v>10</v>
      </c>
      <c r="F31" s="40" t="n">
        <f aca="false">IF(E31&gt;0,D31/E31,"")</f>
        <v>50</v>
      </c>
      <c r="G31" s="31" t="s">
        <v>607</v>
      </c>
      <c r="H31" s="31"/>
    </row>
    <row r="32" customFormat="false" ht="15" hidden="false" customHeight="false" outlineLevel="0" collapsed="false">
      <c r="A32" s="31" t="s">
        <v>252</v>
      </c>
      <c r="B32" s="31" t="s">
        <v>251</v>
      </c>
      <c r="C32" s="31" t="s">
        <v>628</v>
      </c>
      <c r="D32" s="38" t="n">
        <v>450</v>
      </c>
      <c r="E32" s="39" t="n">
        <v>9</v>
      </c>
      <c r="F32" s="40" t="n">
        <f aca="false">IF(E32&gt;0,D32/E32,"")</f>
        <v>50</v>
      </c>
      <c r="G32" s="31" t="s">
        <v>607</v>
      </c>
      <c r="H32" s="31"/>
    </row>
    <row r="33" customFormat="false" ht="15" hidden="false" customHeight="false" outlineLevel="0" collapsed="false">
      <c r="A33" s="31" t="s">
        <v>254</v>
      </c>
      <c r="B33" s="31" t="s">
        <v>253</v>
      </c>
      <c r="C33" s="31"/>
      <c r="D33" s="38" t="n">
        <v>300</v>
      </c>
      <c r="E33" s="39" t="n">
        <v>6</v>
      </c>
      <c r="F33" s="40" t="n">
        <f aca="false">IF(E33&gt;0,D33/E33,"")</f>
        <v>50</v>
      </c>
      <c r="G33" s="31" t="s">
        <v>607</v>
      </c>
      <c r="H33" s="31"/>
    </row>
    <row r="34" customFormat="false" ht="15" hidden="false" customHeight="false" outlineLevel="0" collapsed="false">
      <c r="A34" s="31" t="s">
        <v>256</v>
      </c>
      <c r="B34" s="31" t="s">
        <v>255</v>
      </c>
      <c r="C34" s="31" t="s">
        <v>629</v>
      </c>
      <c r="D34" s="38" t="n">
        <v>400</v>
      </c>
      <c r="E34" s="39" t="n">
        <v>8</v>
      </c>
      <c r="F34" s="40" t="n">
        <f aca="false">IF(E34&gt;0,D34/E34,"")</f>
        <v>50</v>
      </c>
      <c r="G34" s="31" t="s">
        <v>607</v>
      </c>
      <c r="H34" s="31"/>
    </row>
    <row r="35" customFormat="false" ht="15" hidden="false" customHeight="false" outlineLevel="0" collapsed="false">
      <c r="A35" s="31" t="s">
        <v>258</v>
      </c>
      <c r="B35" s="31" t="s">
        <v>257</v>
      </c>
      <c r="C35" s="31" t="s">
        <v>630</v>
      </c>
      <c r="D35" s="38" t="n">
        <v>400</v>
      </c>
      <c r="E35" s="39" t="n">
        <v>8</v>
      </c>
      <c r="F35" s="40" t="n">
        <f aca="false">IF(E35&gt;0,D35/E35,"")</f>
        <v>50</v>
      </c>
      <c r="G35" s="31" t="s">
        <v>607</v>
      </c>
      <c r="H35" s="31"/>
    </row>
    <row r="36" customFormat="false" ht="15" hidden="false" customHeight="false" outlineLevel="0" collapsed="false">
      <c r="A36" s="8" t="s">
        <v>631</v>
      </c>
      <c r="B36" s="9"/>
      <c r="C36" s="9"/>
      <c r="D36" s="9"/>
      <c r="E36" s="9"/>
      <c r="F36" s="9"/>
      <c r="G36" s="9"/>
      <c r="H36" s="9"/>
    </row>
    <row r="37" customFormat="false" ht="15" hidden="false" customHeight="false" outlineLevel="0" collapsed="false">
      <c r="A37" s="31" t="s">
        <v>260</v>
      </c>
      <c r="B37" s="31" t="s">
        <v>259</v>
      </c>
      <c r="C37" s="31" t="s">
        <v>632</v>
      </c>
      <c r="D37" s="38" t="n">
        <v>350</v>
      </c>
      <c r="E37" s="39" t="n">
        <v>7</v>
      </c>
      <c r="F37" s="40" t="n">
        <f aca="false">IF(E37&gt;0,D37/E37,"")</f>
        <v>50</v>
      </c>
      <c r="G37" s="31" t="s">
        <v>607</v>
      </c>
      <c r="H37" s="31"/>
    </row>
    <row r="38" customFormat="false" ht="15" hidden="false" customHeight="false" outlineLevel="0" collapsed="false">
      <c r="A38" s="31" t="s">
        <v>262</v>
      </c>
      <c r="B38" s="31" t="s">
        <v>261</v>
      </c>
      <c r="C38" s="31"/>
      <c r="D38" s="38" t="n">
        <v>300</v>
      </c>
      <c r="E38" s="39" t="n">
        <v>6</v>
      </c>
      <c r="F38" s="40" t="n">
        <f aca="false">IF(E38&gt;0,D38/E38,"")</f>
        <v>50</v>
      </c>
      <c r="G38" s="31" t="s">
        <v>607</v>
      </c>
      <c r="H38" s="31"/>
    </row>
    <row r="39" customFormat="false" ht="15" hidden="false" customHeight="false" outlineLevel="0" collapsed="false">
      <c r="A39" s="31" t="s">
        <v>264</v>
      </c>
      <c r="B39" s="31" t="s">
        <v>263</v>
      </c>
      <c r="C39" s="31" t="s">
        <v>633</v>
      </c>
      <c r="D39" s="38" t="n">
        <v>250</v>
      </c>
      <c r="E39" s="39" t="n">
        <v>5</v>
      </c>
      <c r="F39" s="40" t="n">
        <f aca="false">IF(E39&gt;0,D39/E39,"")</f>
        <v>50</v>
      </c>
      <c r="G39" s="31" t="s">
        <v>607</v>
      </c>
      <c r="H39" s="31"/>
    </row>
    <row r="40" customFormat="false" ht="15" hidden="false" customHeight="false" outlineLevel="0" collapsed="false">
      <c r="A40" s="31" t="s">
        <v>266</v>
      </c>
      <c r="B40" s="31" t="s">
        <v>265</v>
      </c>
      <c r="C40" s="31"/>
      <c r="D40" s="38" t="n">
        <v>250</v>
      </c>
      <c r="E40" s="39" t="n">
        <v>5</v>
      </c>
      <c r="F40" s="40" t="n">
        <f aca="false">IF(E40&gt;0,D40/E40,"")</f>
        <v>50</v>
      </c>
      <c r="G40" s="31" t="s">
        <v>607</v>
      </c>
      <c r="H40" s="31"/>
    </row>
    <row r="41" customFormat="false" ht="15" hidden="false" customHeight="false" outlineLevel="0" collapsed="false">
      <c r="A41" s="31" t="s">
        <v>268</v>
      </c>
      <c r="B41" s="31" t="s">
        <v>267</v>
      </c>
      <c r="C41" s="31" t="s">
        <v>634</v>
      </c>
      <c r="D41" s="38" t="n">
        <v>250</v>
      </c>
      <c r="E41" s="39" t="n">
        <v>5</v>
      </c>
      <c r="F41" s="40" t="n">
        <f aca="false">IF(E41&gt;0,D41/E41,"")</f>
        <v>50</v>
      </c>
      <c r="G41" s="31" t="s">
        <v>607</v>
      </c>
      <c r="H41" s="31"/>
    </row>
    <row r="42" customFormat="false" ht="15" hidden="false" customHeight="false" outlineLevel="0" collapsed="false">
      <c r="A42" s="8" t="s">
        <v>635</v>
      </c>
      <c r="B42" s="9"/>
      <c r="C42" s="9"/>
      <c r="D42" s="9"/>
      <c r="E42" s="9"/>
      <c r="F42" s="9"/>
      <c r="G42" s="9"/>
      <c r="H42" s="9"/>
    </row>
    <row r="43" customFormat="false" ht="23.85" hidden="false" customHeight="false" outlineLevel="0" collapsed="false">
      <c r="A43" s="31" t="s">
        <v>270</v>
      </c>
      <c r="B43" s="31" t="s">
        <v>269</v>
      </c>
      <c r="C43" s="31" t="s">
        <v>636</v>
      </c>
      <c r="D43" s="38" t="n">
        <v>450</v>
      </c>
      <c r="E43" s="39" t="n">
        <v>9</v>
      </c>
      <c r="F43" s="40" t="n">
        <f aca="false">IF(E43&gt;0,D43/E43,"")</f>
        <v>50</v>
      </c>
      <c r="G43" s="31" t="s">
        <v>607</v>
      </c>
      <c r="H43" s="31" t="s">
        <v>637</v>
      </c>
    </row>
    <row r="44" customFormat="false" ht="35.05" hidden="false" customHeight="false" outlineLevel="0" collapsed="false">
      <c r="A44" s="31" t="s">
        <v>272</v>
      </c>
      <c r="B44" s="31" t="s">
        <v>271</v>
      </c>
      <c r="C44" s="31" t="s">
        <v>638</v>
      </c>
      <c r="D44" s="38" t="n">
        <v>450</v>
      </c>
      <c r="E44" s="39" t="n">
        <v>9</v>
      </c>
      <c r="F44" s="40" t="n">
        <f aca="false">IF(E44&gt;0,D44/E44,"")</f>
        <v>50</v>
      </c>
      <c r="G44" s="31" t="s">
        <v>607</v>
      </c>
      <c r="H44" s="31" t="s">
        <v>639</v>
      </c>
    </row>
    <row r="45" customFormat="false" ht="23.85" hidden="false" customHeight="false" outlineLevel="0" collapsed="false">
      <c r="A45" s="31" t="s">
        <v>274</v>
      </c>
      <c r="B45" s="31" t="s">
        <v>273</v>
      </c>
      <c r="C45" s="31" t="s">
        <v>640</v>
      </c>
      <c r="D45" s="38" t="n">
        <v>700</v>
      </c>
      <c r="E45" s="39" t="n">
        <v>14</v>
      </c>
      <c r="F45" s="40" t="n">
        <f aca="false">IF(E45&gt;0,D45/E45,"")</f>
        <v>50</v>
      </c>
      <c r="G45" s="31" t="s">
        <v>607</v>
      </c>
      <c r="H45" s="31" t="s">
        <v>641</v>
      </c>
    </row>
    <row r="46" customFormat="false" ht="23.85" hidden="false" customHeight="false" outlineLevel="0" collapsed="false">
      <c r="A46" s="31" t="s">
        <v>276</v>
      </c>
      <c r="B46" s="31" t="s">
        <v>275</v>
      </c>
      <c r="C46" s="31" t="s">
        <v>642</v>
      </c>
      <c r="D46" s="38" t="n">
        <v>250</v>
      </c>
      <c r="E46" s="39" t="n">
        <v>5</v>
      </c>
      <c r="F46" s="40" t="n">
        <f aca="false">IF(E46&gt;0,D46/E46,"")</f>
        <v>50</v>
      </c>
      <c r="G46" s="31" t="s">
        <v>643</v>
      </c>
      <c r="H46" s="31"/>
    </row>
    <row r="47" customFormat="false" ht="35.05" hidden="false" customHeight="false" outlineLevel="0" collapsed="false">
      <c r="A47" s="31" t="s">
        <v>278</v>
      </c>
      <c r="B47" s="31" t="s">
        <v>277</v>
      </c>
      <c r="C47" s="31" t="s">
        <v>644</v>
      </c>
      <c r="D47" s="38" t="n">
        <v>1200</v>
      </c>
      <c r="E47" s="39" t="n">
        <v>24</v>
      </c>
      <c r="F47" s="40" t="n">
        <f aca="false">IF(E47&gt;0,D47/E47,"")</f>
        <v>50</v>
      </c>
      <c r="G47" s="31" t="s">
        <v>607</v>
      </c>
      <c r="H47" s="31" t="s">
        <v>645</v>
      </c>
    </row>
    <row r="48" customFormat="false" ht="15" hidden="false" customHeight="false" outlineLevel="0" collapsed="false">
      <c r="A48" s="8" t="s">
        <v>588</v>
      </c>
      <c r="B48" s="9"/>
      <c r="C48" s="9"/>
      <c r="D48" s="9"/>
      <c r="E48" s="9"/>
      <c r="F48" s="9"/>
      <c r="G48" s="9"/>
      <c r="H48" s="9"/>
    </row>
    <row r="49" customFormat="false" ht="23.85" hidden="false" customHeight="false" outlineLevel="0" collapsed="false">
      <c r="A49" s="31" t="s">
        <v>284</v>
      </c>
      <c r="B49" s="31" t="s">
        <v>283</v>
      </c>
      <c r="C49" s="31" t="s">
        <v>646</v>
      </c>
      <c r="D49" s="38" t="n">
        <v>250</v>
      </c>
      <c r="E49" s="39" t="n">
        <v>5</v>
      </c>
      <c r="F49" s="40" t="n">
        <f aca="false">IF(E49&gt;0,D49/E49,"")</f>
        <v>50</v>
      </c>
      <c r="G49" s="31" t="s">
        <v>393</v>
      </c>
      <c r="H49" s="31"/>
    </row>
    <row r="50" customFormat="false" ht="15" hidden="false" customHeight="false" outlineLevel="0" collapsed="false">
      <c r="A50" s="31" t="s">
        <v>286</v>
      </c>
      <c r="B50" s="31" t="s">
        <v>285</v>
      </c>
      <c r="C50" s="31" t="s">
        <v>647</v>
      </c>
      <c r="D50" s="38" t="n">
        <v>350</v>
      </c>
      <c r="E50" s="39" t="n">
        <v>7</v>
      </c>
      <c r="F50" s="40" t="n">
        <f aca="false">IF(E50&gt;0,D50/E50,"")</f>
        <v>50</v>
      </c>
      <c r="G50" s="31" t="s">
        <v>393</v>
      </c>
      <c r="H50" s="31"/>
    </row>
    <row r="51" customFormat="false" ht="23.85" hidden="false" customHeight="false" outlineLevel="0" collapsed="false">
      <c r="A51" s="31" t="s">
        <v>288</v>
      </c>
      <c r="B51" s="31" t="s">
        <v>287</v>
      </c>
      <c r="C51" s="31" t="s">
        <v>648</v>
      </c>
      <c r="D51" s="38" t="n">
        <v>400</v>
      </c>
      <c r="E51" s="39" t="n">
        <v>8</v>
      </c>
      <c r="F51" s="40" t="n">
        <f aca="false">IF(E51&gt;0,D51/E51,"")</f>
        <v>50</v>
      </c>
      <c r="G51" s="31" t="s">
        <v>393</v>
      </c>
      <c r="H51" s="31"/>
    </row>
    <row r="52" customFormat="false" ht="23.85" hidden="false" customHeight="false" outlineLevel="0" collapsed="false">
      <c r="A52" s="31" t="s">
        <v>290</v>
      </c>
      <c r="B52" s="31" t="s">
        <v>289</v>
      </c>
      <c r="C52" s="31" t="s">
        <v>649</v>
      </c>
      <c r="D52" s="38" t="n">
        <v>600</v>
      </c>
      <c r="E52" s="39" t="n">
        <v>12</v>
      </c>
      <c r="F52" s="40" t="n">
        <f aca="false">IF(E52&gt;0,D52/E52,"")</f>
        <v>50</v>
      </c>
      <c r="G52" s="31" t="s">
        <v>393</v>
      </c>
      <c r="H52" s="31" t="s">
        <v>650</v>
      </c>
    </row>
    <row r="53" customFormat="false" ht="15" hidden="false" customHeight="false" outlineLevel="0" collapsed="false">
      <c r="A53" s="31" t="s">
        <v>292</v>
      </c>
      <c r="B53" s="31" t="s">
        <v>291</v>
      </c>
      <c r="C53" s="31" t="s">
        <v>651</v>
      </c>
      <c r="D53" s="38" t="n">
        <v>150</v>
      </c>
      <c r="E53" s="39" t="n">
        <v>3</v>
      </c>
      <c r="F53" s="40" t="n">
        <f aca="false">IF(E53&gt;0,D53/E53,"")</f>
        <v>50</v>
      </c>
      <c r="G53" s="31" t="s">
        <v>652</v>
      </c>
      <c r="H53" s="31"/>
    </row>
    <row r="54" customFormat="false" ht="15" hidden="false" customHeight="false" outlineLevel="0" collapsed="false">
      <c r="A54" s="31" t="s">
        <v>294</v>
      </c>
      <c r="B54" s="31" t="s">
        <v>293</v>
      </c>
      <c r="C54" s="31" t="s">
        <v>653</v>
      </c>
      <c r="D54" s="38" t="n">
        <v>250</v>
      </c>
      <c r="E54" s="39" t="n">
        <v>5</v>
      </c>
      <c r="F54" s="40" t="n">
        <f aca="false">IF(E54&gt;0,D54/E54,"")</f>
        <v>50</v>
      </c>
      <c r="G54" s="31" t="s">
        <v>393</v>
      </c>
      <c r="H54" s="31"/>
    </row>
    <row r="55" customFormat="false" ht="15" hidden="false" customHeight="false" outlineLevel="0" collapsed="false">
      <c r="A55" s="31" t="s">
        <v>296</v>
      </c>
      <c r="B55" s="31" t="s">
        <v>295</v>
      </c>
      <c r="C55" s="31" t="s">
        <v>654</v>
      </c>
      <c r="D55" s="38" t="n">
        <v>300</v>
      </c>
      <c r="E55" s="39" t="n">
        <v>6</v>
      </c>
      <c r="F55" s="40" t="n">
        <f aca="false">IF(E55&gt;0,D55/E55,"")</f>
        <v>50</v>
      </c>
      <c r="G55" s="31" t="s">
        <v>655</v>
      </c>
      <c r="H55" s="31"/>
    </row>
    <row r="56" customFormat="false" ht="15" hidden="false" customHeight="false" outlineLevel="0" collapsed="false">
      <c r="A56" s="31" t="s">
        <v>298</v>
      </c>
      <c r="B56" s="31" t="s">
        <v>297</v>
      </c>
      <c r="C56" s="31"/>
      <c r="D56" s="38" t="n">
        <v>300</v>
      </c>
      <c r="E56" s="39" t="n">
        <v>6</v>
      </c>
      <c r="F56" s="40" t="n">
        <f aca="false">IF(E56&gt;0,D56/E56,"")</f>
        <v>50</v>
      </c>
      <c r="G56" s="31" t="s">
        <v>393</v>
      </c>
      <c r="H56" s="31"/>
    </row>
    <row r="57" customFormat="false" ht="15" hidden="false" customHeight="false" outlineLevel="0" collapsed="false">
      <c r="A57" s="31" t="s">
        <v>300</v>
      </c>
      <c r="B57" s="31" t="s">
        <v>299</v>
      </c>
      <c r="C57" s="31" t="s">
        <v>656</v>
      </c>
      <c r="D57" s="38" t="n">
        <v>200</v>
      </c>
      <c r="E57" s="39" t="n">
        <v>4</v>
      </c>
      <c r="F57" s="40" t="n">
        <f aca="false">IF(E57&gt;0,D57/E57,"")</f>
        <v>50</v>
      </c>
      <c r="G57" s="31" t="s">
        <v>393</v>
      </c>
      <c r="H57" s="31"/>
    </row>
    <row r="59" customFormat="false" ht="15" hidden="false" customHeight="false" outlineLevel="0" collapsed="false">
      <c r="A59" s="8" t="s">
        <v>657</v>
      </c>
      <c r="B59" s="9"/>
      <c r="C59" s="9"/>
      <c r="D59" s="9"/>
      <c r="E59" s="9"/>
      <c r="F59" s="9"/>
      <c r="G59" s="9"/>
      <c r="H59" s="9"/>
    </row>
    <row r="60" customFormat="false" ht="30" hidden="false" customHeight="true" outlineLevel="0" collapsed="false">
      <c r="A60" s="7" t="s">
        <v>658</v>
      </c>
      <c r="B60" s="7" t="s">
        <v>659</v>
      </c>
      <c r="C60" s="7"/>
      <c r="D60" s="7"/>
      <c r="E60" s="7"/>
      <c r="F60" s="7"/>
      <c r="G60" s="7"/>
      <c r="H60" s="7"/>
    </row>
    <row r="61" customFormat="false" ht="15" hidden="false" customHeight="false" outlineLevel="0" collapsed="false">
      <c r="A61" s="44" t="n">
        <v>1</v>
      </c>
      <c r="B61" s="21" t="n">
        <v>0</v>
      </c>
    </row>
    <row r="62" customFormat="false" ht="15" hidden="false" customHeight="false" outlineLevel="0" collapsed="false">
      <c r="A62" s="44" t="n">
        <v>4</v>
      </c>
      <c r="B62" s="21" t="n">
        <v>0.1</v>
      </c>
    </row>
    <row r="63" customFormat="false" ht="15" hidden="false" customHeight="false" outlineLevel="0" collapsed="false">
      <c r="A63" s="44" t="n">
        <v>11</v>
      </c>
      <c r="B63" s="21" t="n">
        <v>0.2</v>
      </c>
    </row>
    <row r="64" customFormat="false" ht="15" hidden="false" customHeight="false" outlineLevel="0" collapsed="false">
      <c r="A64" s="44" t="n">
        <v>31</v>
      </c>
      <c r="B64" s="21" t="n">
        <v>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2"/>
    <col collapsed="false" customWidth="true" hidden="false" outlineLevel="0" max="6" min="4" style="0" width="11"/>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5" t="s">
        <v>660</v>
      </c>
    </row>
    <row r="2" customFormat="false" ht="15" hidden="false" customHeight="false" outlineLevel="0" collapsed="false">
      <c r="A2" s="6" t="s">
        <v>661</v>
      </c>
    </row>
    <row r="4" customFormat="false" ht="30" hidden="false" customHeight="true" outlineLevel="0" collapsed="false">
      <c r="A4" s="7" t="s">
        <v>29</v>
      </c>
      <c r="B4" s="7" t="s">
        <v>28</v>
      </c>
      <c r="C4" s="7" t="s">
        <v>384</v>
      </c>
      <c r="D4" s="7" t="s">
        <v>385</v>
      </c>
      <c r="E4" s="7" t="s">
        <v>319</v>
      </c>
      <c r="F4" s="7" t="s">
        <v>386</v>
      </c>
      <c r="G4" s="7" t="s">
        <v>387</v>
      </c>
      <c r="H4" s="7" t="s">
        <v>388</v>
      </c>
    </row>
    <row r="5" customFormat="false" ht="15" hidden="false" customHeight="false" outlineLevel="0" collapsed="false">
      <c r="A5" s="8" t="s">
        <v>662</v>
      </c>
      <c r="B5" s="9"/>
      <c r="C5" s="9"/>
      <c r="D5" s="9"/>
      <c r="E5" s="9"/>
      <c r="F5" s="9"/>
      <c r="G5" s="9"/>
      <c r="H5" s="9"/>
    </row>
    <row r="6" customFormat="false" ht="15" hidden="false" customHeight="false" outlineLevel="0" collapsed="false">
      <c r="A6" s="31" t="s">
        <v>663</v>
      </c>
      <c r="B6" s="31" t="s">
        <v>664</v>
      </c>
      <c r="C6" s="31" t="s">
        <v>665</v>
      </c>
      <c r="D6" s="38" t="n">
        <v>10</v>
      </c>
      <c r="E6" s="39" t="n">
        <v>0</v>
      </c>
      <c r="F6" s="40" t="str">
        <f aca="false">IF(E6&gt;0,D6/E6,"")</f>
        <v/>
      </c>
      <c r="G6" s="31" t="s">
        <v>666</v>
      </c>
      <c r="H6" s="31"/>
    </row>
    <row r="7" customFormat="false" ht="15" hidden="false" customHeight="false" outlineLevel="0" collapsed="false">
      <c r="A7" s="31" t="s">
        <v>667</v>
      </c>
      <c r="B7" s="31" t="s">
        <v>668</v>
      </c>
      <c r="C7" s="31"/>
      <c r="D7" s="38" t="n">
        <v>15</v>
      </c>
      <c r="E7" s="39" t="n">
        <v>0</v>
      </c>
      <c r="F7" s="40" t="str">
        <f aca="false">IF(E7&gt;0,D7/E7,"")</f>
        <v/>
      </c>
      <c r="G7" s="31" t="s">
        <v>666</v>
      </c>
      <c r="H7" s="31"/>
    </row>
    <row r="8" customFormat="false" ht="15" hidden="false" customHeight="false" outlineLevel="0" collapsed="false">
      <c r="A8" s="31" t="s">
        <v>669</v>
      </c>
      <c r="B8" s="31" t="s">
        <v>670</v>
      </c>
      <c r="C8" s="31" t="s">
        <v>671</v>
      </c>
      <c r="D8" s="38" t="n">
        <v>5</v>
      </c>
      <c r="E8" s="39" t="n">
        <v>0</v>
      </c>
      <c r="F8" s="40" t="str">
        <f aca="false">IF(E8&gt;0,D8/E8,"")</f>
        <v/>
      </c>
      <c r="G8" s="31" t="s">
        <v>666</v>
      </c>
      <c r="H8" s="31"/>
    </row>
    <row r="9" customFormat="false" ht="15" hidden="false" customHeight="false" outlineLevel="0" collapsed="false">
      <c r="A9" s="31" t="s">
        <v>672</v>
      </c>
      <c r="B9" s="31" t="s">
        <v>673</v>
      </c>
      <c r="C9" s="31"/>
      <c r="D9" s="38" t="n">
        <v>25</v>
      </c>
      <c r="E9" s="39" t="n">
        <v>0</v>
      </c>
      <c r="F9" s="40" t="str">
        <f aca="false">IF(E9&gt;0,D9/E9,"")</f>
        <v/>
      </c>
      <c r="G9" s="31" t="s">
        <v>666</v>
      </c>
      <c r="H9" s="31"/>
    </row>
    <row r="10" customFormat="false" ht="15" hidden="false" customHeight="false" outlineLevel="0" collapsed="false">
      <c r="A10" s="31" t="s">
        <v>674</v>
      </c>
      <c r="B10" s="31" t="s">
        <v>675</v>
      </c>
      <c r="C10" s="31" t="s">
        <v>676</v>
      </c>
      <c r="D10" s="38" t="n">
        <v>30</v>
      </c>
      <c r="E10" s="39" t="n">
        <v>0</v>
      </c>
      <c r="F10" s="40" t="str">
        <f aca="false">IF(E10&gt;0,D10/E10,"")</f>
        <v/>
      </c>
      <c r="G10" s="31" t="s">
        <v>666</v>
      </c>
      <c r="H10" s="31"/>
    </row>
    <row r="11" customFormat="false" ht="15" hidden="false" customHeight="false" outlineLevel="0" collapsed="false">
      <c r="A11" s="8" t="s">
        <v>677</v>
      </c>
      <c r="B11" s="9"/>
      <c r="C11" s="9"/>
      <c r="D11" s="9"/>
      <c r="E11" s="9"/>
      <c r="F11" s="9"/>
      <c r="G11" s="9"/>
      <c r="H11" s="9"/>
    </row>
    <row r="12" customFormat="false" ht="23.85" hidden="false" customHeight="false" outlineLevel="0" collapsed="false">
      <c r="A12" s="31" t="s">
        <v>678</v>
      </c>
      <c r="B12" s="31" t="s">
        <v>679</v>
      </c>
      <c r="C12" s="31" t="s">
        <v>680</v>
      </c>
      <c r="D12" s="38" t="n">
        <v>15</v>
      </c>
      <c r="E12" s="39" t="n">
        <v>0.25</v>
      </c>
      <c r="F12" s="40" t="n">
        <f aca="false">IF(E12&gt;0,D12/E12,"")</f>
        <v>60</v>
      </c>
      <c r="G12" s="31" t="s">
        <v>666</v>
      </c>
      <c r="H12" s="31"/>
    </row>
    <row r="13" customFormat="false" ht="15" hidden="false" customHeight="false" outlineLevel="0" collapsed="false">
      <c r="A13" s="31" t="s">
        <v>681</v>
      </c>
      <c r="B13" s="31" t="s">
        <v>682</v>
      </c>
      <c r="C13" s="31"/>
      <c r="D13" s="41" t="n">
        <v>0.5</v>
      </c>
      <c r="E13" s="39" t="n">
        <v>0.01</v>
      </c>
      <c r="F13" s="40" t="n">
        <f aca="false">IF(E13&gt;0,D13/E13,"")</f>
        <v>50</v>
      </c>
      <c r="G13" s="31" t="s">
        <v>683</v>
      </c>
      <c r="H13" s="31"/>
    </row>
    <row r="14" customFormat="false" ht="15" hidden="false" customHeight="false" outlineLevel="0" collapsed="false">
      <c r="A14" s="31" t="s">
        <v>684</v>
      </c>
      <c r="B14" s="31" t="s">
        <v>685</v>
      </c>
      <c r="C14" s="31"/>
      <c r="D14" s="41" t="n">
        <v>0.1</v>
      </c>
      <c r="E14" s="39" t="n">
        <v>0</v>
      </c>
      <c r="F14" s="40" t="str">
        <f aca="false">IF(E14&gt;0,D14/E14,"")</f>
        <v/>
      </c>
      <c r="G14" s="31" t="s">
        <v>683</v>
      </c>
      <c r="H14" s="31"/>
    </row>
    <row r="15" customFormat="false" ht="15" hidden="false" customHeight="false" outlineLevel="0" collapsed="false">
      <c r="A15" s="31" t="s">
        <v>686</v>
      </c>
      <c r="B15" s="31" t="s">
        <v>687</v>
      </c>
      <c r="C15" s="31" t="s">
        <v>688</v>
      </c>
      <c r="D15" s="38" t="n">
        <v>15</v>
      </c>
      <c r="E15" s="39" t="n">
        <v>0.25</v>
      </c>
      <c r="F15" s="40" t="n">
        <f aca="false">IF(E15&gt;0,D15/E15,"")</f>
        <v>60</v>
      </c>
      <c r="G15" s="31" t="s">
        <v>666</v>
      </c>
      <c r="H15" s="31"/>
    </row>
    <row r="16" customFormat="false" ht="15" hidden="false" customHeight="false" outlineLevel="0" collapsed="false">
      <c r="A16" s="31" t="s">
        <v>689</v>
      </c>
      <c r="B16" s="31" t="s">
        <v>690</v>
      </c>
      <c r="C16" s="31"/>
      <c r="D16" s="38" t="n">
        <v>20</v>
      </c>
      <c r="E16" s="39" t="n">
        <v>0.4</v>
      </c>
      <c r="F16" s="40" t="n">
        <f aca="false">IF(E16&gt;0,D16/E16,"")</f>
        <v>50</v>
      </c>
      <c r="G16" s="31" t="s">
        <v>666</v>
      </c>
      <c r="H16" s="31"/>
    </row>
    <row r="17" customFormat="false" ht="23.85" hidden="false" customHeight="false" outlineLevel="0" collapsed="false">
      <c r="A17" s="31" t="s">
        <v>691</v>
      </c>
      <c r="B17" s="31" t="s">
        <v>692</v>
      </c>
      <c r="C17" s="31"/>
      <c r="D17" s="38" t="n">
        <v>5</v>
      </c>
      <c r="E17" s="39" t="n">
        <v>0.1</v>
      </c>
      <c r="F17" s="40" t="n">
        <f aca="false">IF(E17&gt;0,D17/E17,"")</f>
        <v>50</v>
      </c>
      <c r="G17" s="31" t="s">
        <v>693</v>
      </c>
      <c r="H17" s="31"/>
    </row>
    <row r="18" customFormat="false" ht="15" hidden="false" customHeight="false" outlineLevel="0" collapsed="false">
      <c r="A18" s="8" t="s">
        <v>694</v>
      </c>
      <c r="B18" s="9"/>
      <c r="C18" s="9"/>
      <c r="D18" s="9"/>
      <c r="E18" s="9"/>
      <c r="F18" s="9"/>
      <c r="G18" s="9"/>
      <c r="H18" s="9"/>
    </row>
    <row r="19" customFormat="false" ht="23.85" hidden="false" customHeight="false" outlineLevel="0" collapsed="false">
      <c r="A19" s="31" t="s">
        <v>328</v>
      </c>
      <c r="B19" s="31" t="s">
        <v>695</v>
      </c>
      <c r="C19" s="31" t="s">
        <v>696</v>
      </c>
      <c r="D19" s="38" t="n">
        <v>10</v>
      </c>
      <c r="E19" s="39" t="n">
        <v>0.2</v>
      </c>
      <c r="F19" s="40" t="n">
        <f aca="false">IF(E19&gt;0,D19/E19,"")</f>
        <v>50</v>
      </c>
      <c r="G19" s="31" t="s">
        <v>697</v>
      </c>
      <c r="H19" s="31"/>
    </row>
    <row r="20" customFormat="false" ht="15" hidden="false" customHeight="false" outlineLevel="0" collapsed="false">
      <c r="A20" s="31" t="s">
        <v>330</v>
      </c>
      <c r="B20" s="31" t="s">
        <v>132</v>
      </c>
      <c r="C20" s="31"/>
      <c r="D20" s="38" t="n">
        <v>40</v>
      </c>
      <c r="E20" s="39" t="n">
        <v>0.8</v>
      </c>
      <c r="F20" s="40" t="n">
        <f aca="false">IF(E20&gt;0,D20/E20,"")</f>
        <v>50</v>
      </c>
      <c r="G20" s="31" t="s">
        <v>502</v>
      </c>
      <c r="H20" s="31"/>
    </row>
    <row r="21" customFormat="false" ht="23.85" hidden="false" customHeight="false" outlineLevel="0" collapsed="false">
      <c r="A21" s="31" t="s">
        <v>698</v>
      </c>
      <c r="B21" s="31" t="s">
        <v>699</v>
      </c>
      <c r="C21" s="31" t="s">
        <v>700</v>
      </c>
      <c r="D21" s="38" t="n">
        <v>60</v>
      </c>
      <c r="E21" s="39" t="n">
        <v>1.25</v>
      </c>
      <c r="F21" s="40" t="n">
        <f aca="false">IF(E21&gt;0,D21/E21,"")</f>
        <v>48</v>
      </c>
      <c r="G21" s="31" t="s">
        <v>666</v>
      </c>
      <c r="H21" s="31"/>
    </row>
    <row r="22" customFormat="false" ht="15" hidden="false" customHeight="false" outlineLevel="0" collapsed="false">
      <c r="A22" s="31" t="s">
        <v>701</v>
      </c>
      <c r="B22" s="31" t="s">
        <v>702</v>
      </c>
      <c r="C22" s="31" t="s">
        <v>703</v>
      </c>
      <c r="D22" s="38" t="n">
        <v>120</v>
      </c>
      <c r="E22" s="39" t="n">
        <v>2.5</v>
      </c>
      <c r="F22" s="40" t="n">
        <f aca="false">IF(E22&gt;0,D22/E22,"")</f>
        <v>48</v>
      </c>
      <c r="G22" s="31" t="s">
        <v>666</v>
      </c>
      <c r="H22" s="31"/>
    </row>
    <row r="23" customFormat="false" ht="23.85" hidden="false" customHeight="false" outlineLevel="0" collapsed="false">
      <c r="A23" s="31" t="s">
        <v>704</v>
      </c>
      <c r="B23" s="31" t="s">
        <v>705</v>
      </c>
      <c r="C23" s="31" t="s">
        <v>706</v>
      </c>
      <c r="D23" s="38" t="n">
        <v>220</v>
      </c>
      <c r="E23" s="39" t="n">
        <v>4.5</v>
      </c>
      <c r="F23" s="40" t="n">
        <f aca="false">IF(E23&gt;0,D23/E23,"")</f>
        <v>48.8888888888889</v>
      </c>
      <c r="G23" s="31" t="s">
        <v>666</v>
      </c>
      <c r="H23" s="31"/>
    </row>
    <row r="24" customFormat="false" ht="23.85" hidden="false" customHeight="false" outlineLevel="0" collapsed="false">
      <c r="A24" s="31" t="s">
        <v>333</v>
      </c>
      <c r="B24" s="31" t="s">
        <v>332</v>
      </c>
      <c r="C24" s="31" t="s">
        <v>707</v>
      </c>
      <c r="D24" s="38" t="n">
        <v>40</v>
      </c>
      <c r="E24" s="39" t="n">
        <v>0.8</v>
      </c>
      <c r="F24" s="40" t="n">
        <f aca="false">IF(E24&gt;0,D24/E24,"")</f>
        <v>50</v>
      </c>
      <c r="G24" s="31" t="s">
        <v>666</v>
      </c>
      <c r="H24" s="31"/>
    </row>
    <row r="25" customFormat="false" ht="15" hidden="false" customHeight="false" outlineLevel="0" collapsed="false">
      <c r="A25" s="31" t="s">
        <v>335</v>
      </c>
      <c r="B25" s="31" t="s">
        <v>708</v>
      </c>
      <c r="C25" s="31" t="s">
        <v>709</v>
      </c>
      <c r="D25" s="38" t="n">
        <v>80</v>
      </c>
      <c r="E25" s="39" t="n">
        <v>1.5</v>
      </c>
      <c r="F25" s="40" t="n">
        <f aca="false">IF(E25&gt;0,D25/E25,"")</f>
        <v>53.3333333333333</v>
      </c>
      <c r="G25" s="31" t="s">
        <v>558</v>
      </c>
      <c r="H25" s="31"/>
    </row>
    <row r="26" customFormat="false" ht="15" hidden="false" customHeight="false" outlineLevel="0" collapsed="false">
      <c r="A26" s="31" t="s">
        <v>337</v>
      </c>
      <c r="B26" s="31" t="s">
        <v>710</v>
      </c>
      <c r="C26" s="31" t="s">
        <v>711</v>
      </c>
      <c r="D26" s="38" t="n">
        <v>25</v>
      </c>
      <c r="E26" s="39" t="n">
        <v>0.5</v>
      </c>
      <c r="F26" s="40" t="n">
        <f aca="false">IF(E26&gt;0,D26/E26,"")</f>
        <v>50</v>
      </c>
      <c r="G26" s="31" t="s">
        <v>666</v>
      </c>
      <c r="H26" s="31"/>
    </row>
    <row r="27" customFormat="false" ht="15" hidden="false" customHeight="false" outlineLevel="0" collapsed="false">
      <c r="A27" s="31" t="s">
        <v>339</v>
      </c>
      <c r="B27" s="31" t="s">
        <v>338</v>
      </c>
      <c r="C27" s="31" t="s">
        <v>712</v>
      </c>
      <c r="D27" s="38" t="n">
        <v>15</v>
      </c>
      <c r="E27" s="39" t="n">
        <v>0.3</v>
      </c>
      <c r="F27" s="40" t="n">
        <f aca="false">IF(E27&gt;0,D27/E27,"")</f>
        <v>50</v>
      </c>
      <c r="G27" s="31" t="s">
        <v>666</v>
      </c>
      <c r="H27" s="31" t="s">
        <v>713</v>
      </c>
    </row>
    <row r="28" customFormat="false" ht="23.85" hidden="false" customHeight="false" outlineLevel="0" collapsed="false">
      <c r="A28" s="31" t="s">
        <v>341</v>
      </c>
      <c r="B28" s="31" t="s">
        <v>714</v>
      </c>
      <c r="C28" s="31" t="s">
        <v>715</v>
      </c>
      <c r="D28" s="38" t="n">
        <v>35</v>
      </c>
      <c r="E28" s="39" t="n">
        <v>1</v>
      </c>
      <c r="F28" s="40" t="n">
        <f aca="false">IF(E28&gt;0,D28/E28,"")</f>
        <v>35</v>
      </c>
      <c r="G28" s="31" t="s">
        <v>716</v>
      </c>
      <c r="H28" s="31" t="s">
        <v>717</v>
      </c>
    </row>
    <row r="29" customFormat="false" ht="15" hidden="false" customHeight="false" outlineLevel="0" collapsed="false">
      <c r="A29" s="8" t="s">
        <v>718</v>
      </c>
      <c r="B29" s="9"/>
      <c r="C29" s="9"/>
      <c r="D29" s="9"/>
      <c r="E29" s="9"/>
      <c r="F29" s="9"/>
      <c r="G29" s="9"/>
      <c r="H29" s="9"/>
    </row>
    <row r="30" customFormat="false" ht="15" hidden="false" customHeight="false" outlineLevel="0" collapsed="false">
      <c r="A30" s="31" t="s">
        <v>719</v>
      </c>
      <c r="B30" s="31" t="s">
        <v>720</v>
      </c>
      <c r="C30" s="31"/>
      <c r="D30" s="34" t="n">
        <v>0.1</v>
      </c>
      <c r="E30" s="39" t="n">
        <v>0</v>
      </c>
      <c r="F30" s="40" t="str">
        <f aca="false">IF(E30&gt;0,D30/E30,"")</f>
        <v/>
      </c>
      <c r="G30" s="31" t="s">
        <v>721</v>
      </c>
      <c r="H30" s="31" t="s">
        <v>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2"/>
    <col collapsed="false" customWidth="true" hidden="false" outlineLevel="0" max="6" min="4" style="0" width="11"/>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5" t="s">
        <v>723</v>
      </c>
    </row>
    <row r="2" customFormat="false" ht="15" hidden="false" customHeight="false" outlineLevel="0" collapsed="false">
      <c r="A2" s="6" t="s">
        <v>724</v>
      </c>
    </row>
    <row r="4" customFormat="false" ht="30" hidden="false" customHeight="true" outlineLevel="0" collapsed="false">
      <c r="A4" s="7" t="s">
        <v>29</v>
      </c>
      <c r="B4" s="7" t="s">
        <v>28</v>
      </c>
      <c r="C4" s="7" t="s">
        <v>384</v>
      </c>
      <c r="D4" s="7" t="s">
        <v>385</v>
      </c>
      <c r="E4" s="7" t="s">
        <v>319</v>
      </c>
      <c r="F4" s="7" t="s">
        <v>386</v>
      </c>
      <c r="G4" s="7" t="s">
        <v>387</v>
      </c>
      <c r="H4" s="7" t="s">
        <v>388</v>
      </c>
    </row>
    <row r="5" customFormat="false" ht="15" hidden="false" customHeight="false" outlineLevel="0" collapsed="false">
      <c r="A5" s="8" t="s">
        <v>725</v>
      </c>
      <c r="B5" s="9"/>
      <c r="C5" s="9"/>
      <c r="D5" s="9"/>
      <c r="E5" s="9"/>
      <c r="F5" s="9"/>
      <c r="G5" s="9"/>
      <c r="H5" s="9"/>
    </row>
    <row r="6" customFormat="false" ht="23.85" hidden="false" customHeight="false" outlineLevel="0" collapsed="false">
      <c r="A6" s="31" t="s">
        <v>726</v>
      </c>
      <c r="B6" s="31" t="s">
        <v>727</v>
      </c>
      <c r="C6" s="31" t="s">
        <v>728</v>
      </c>
      <c r="D6" s="38" t="n">
        <v>90</v>
      </c>
      <c r="E6" s="39" t="n">
        <v>2</v>
      </c>
      <c r="F6" s="40" t="n">
        <f aca="false">IF(E6&gt;0,D6/E6,"")</f>
        <v>45</v>
      </c>
      <c r="G6" s="31" t="s">
        <v>393</v>
      </c>
      <c r="H6" s="31"/>
    </row>
    <row r="7" customFormat="false" ht="15" hidden="false" customHeight="false" outlineLevel="0" collapsed="false">
      <c r="A7" s="31" t="s">
        <v>729</v>
      </c>
      <c r="B7" s="31" t="s">
        <v>730</v>
      </c>
      <c r="C7" s="31" t="s">
        <v>731</v>
      </c>
      <c r="D7" s="38" t="n">
        <v>40</v>
      </c>
      <c r="E7" s="39" t="n">
        <v>1</v>
      </c>
      <c r="F7" s="40" t="n">
        <f aca="false">IF(E7&gt;0,D7/E7,"")</f>
        <v>40</v>
      </c>
      <c r="G7" s="31" t="s">
        <v>411</v>
      </c>
      <c r="H7" s="31" t="s">
        <v>732</v>
      </c>
    </row>
    <row r="8" customFormat="false" ht="15" hidden="false" customHeight="false" outlineLevel="0" collapsed="false">
      <c r="A8" s="31" t="s">
        <v>733</v>
      </c>
      <c r="B8" s="31" t="s">
        <v>734</v>
      </c>
      <c r="C8" s="31" t="s">
        <v>735</v>
      </c>
      <c r="D8" s="38" t="n">
        <v>180</v>
      </c>
      <c r="E8" s="39" t="n">
        <v>3.5</v>
      </c>
      <c r="F8" s="40" t="n">
        <f aca="false">IF(E8&gt;0,D8/E8,"")</f>
        <v>51.4285714285714</v>
      </c>
      <c r="G8" s="31" t="s">
        <v>393</v>
      </c>
      <c r="H8" s="31"/>
    </row>
    <row r="9" customFormat="false" ht="15" hidden="false" customHeight="false" outlineLevel="0" collapsed="false">
      <c r="A9" s="31" t="s">
        <v>736</v>
      </c>
      <c r="B9" s="31" t="s">
        <v>737</v>
      </c>
      <c r="C9" s="31" t="s">
        <v>738</v>
      </c>
      <c r="D9" s="38" t="n">
        <v>120</v>
      </c>
      <c r="E9" s="39" t="n">
        <v>2.5</v>
      </c>
      <c r="F9" s="40" t="n">
        <f aca="false">IF(E9&gt;0,D9/E9,"")</f>
        <v>48</v>
      </c>
      <c r="G9" s="31" t="s">
        <v>393</v>
      </c>
      <c r="H9" s="31"/>
    </row>
    <row r="10" customFormat="false" ht="23.85" hidden="false" customHeight="false" outlineLevel="0" collapsed="false">
      <c r="A10" s="31" t="s">
        <v>739</v>
      </c>
      <c r="B10" s="31" t="s">
        <v>740</v>
      </c>
      <c r="C10" s="31" t="s">
        <v>741</v>
      </c>
      <c r="D10" s="38" t="n">
        <v>150</v>
      </c>
      <c r="E10" s="39" t="n">
        <v>3</v>
      </c>
      <c r="F10" s="40" t="n">
        <f aca="false">IF(E10&gt;0,D10/E10,"")</f>
        <v>50</v>
      </c>
      <c r="G10" s="31" t="s">
        <v>393</v>
      </c>
      <c r="H10" s="31"/>
    </row>
    <row r="11" customFormat="false" ht="15" hidden="false" customHeight="false" outlineLevel="0" collapsed="false">
      <c r="A11" s="31" t="s">
        <v>742</v>
      </c>
      <c r="B11" s="31" t="s">
        <v>743</v>
      </c>
      <c r="C11" s="31"/>
      <c r="D11" s="38" t="n">
        <v>90</v>
      </c>
      <c r="E11" s="39" t="n">
        <v>1.75</v>
      </c>
      <c r="F11" s="40" t="n">
        <f aca="false">IF(E11&gt;0,D11/E11,"")</f>
        <v>51.4285714285714</v>
      </c>
      <c r="G11" s="31" t="s">
        <v>393</v>
      </c>
      <c r="H11" s="31"/>
    </row>
    <row r="12" customFormat="false" ht="15" hidden="false" customHeight="false" outlineLevel="0" collapsed="false">
      <c r="A12" s="31" t="s">
        <v>744</v>
      </c>
      <c r="B12" s="31" t="s">
        <v>745</v>
      </c>
      <c r="C12" s="31" t="s">
        <v>746</v>
      </c>
      <c r="D12" s="38" t="n">
        <v>60</v>
      </c>
      <c r="E12" s="39" t="n">
        <v>1.25</v>
      </c>
      <c r="F12" s="40" t="n">
        <f aca="false">IF(E12&gt;0,D12/E12,"")</f>
        <v>48</v>
      </c>
      <c r="G12" s="31" t="s">
        <v>393</v>
      </c>
      <c r="H12" s="31"/>
    </row>
    <row r="13" customFormat="false" ht="23.85" hidden="false" customHeight="false" outlineLevel="0" collapsed="false">
      <c r="A13" s="31" t="s">
        <v>747</v>
      </c>
      <c r="B13" s="31" t="s">
        <v>748</v>
      </c>
      <c r="C13" s="31" t="s">
        <v>749</v>
      </c>
      <c r="D13" s="38" t="n">
        <v>0</v>
      </c>
      <c r="E13" s="39" t="n">
        <v>0</v>
      </c>
      <c r="F13" s="40" t="str">
        <f aca="false">IF(E13&gt;0,D13/E13,"")</f>
        <v/>
      </c>
      <c r="G13" s="31" t="s">
        <v>750</v>
      </c>
      <c r="H13" s="31"/>
    </row>
    <row r="14" customFormat="false" ht="15" hidden="false" customHeight="false" outlineLevel="0" collapsed="false">
      <c r="A14" s="8" t="s">
        <v>751</v>
      </c>
      <c r="B14" s="9"/>
      <c r="C14" s="9"/>
      <c r="D14" s="9"/>
      <c r="E14" s="9"/>
      <c r="F14" s="9"/>
      <c r="G14" s="9"/>
      <c r="H14" s="9"/>
    </row>
    <row r="15" customFormat="false" ht="15" hidden="false" customHeight="false" outlineLevel="0" collapsed="false">
      <c r="A15" s="31" t="s">
        <v>752</v>
      </c>
      <c r="B15" s="31" t="s">
        <v>753</v>
      </c>
      <c r="C15" s="31"/>
      <c r="D15" s="38" t="n">
        <v>40</v>
      </c>
      <c r="E15" s="39" t="n">
        <v>1</v>
      </c>
      <c r="F15" s="40" t="n">
        <f aca="false">IF(E15&gt;0,D15/E15,"")</f>
        <v>40</v>
      </c>
      <c r="G15" s="31" t="s">
        <v>411</v>
      </c>
      <c r="H15" s="31"/>
    </row>
    <row r="16" customFormat="false" ht="15" hidden="false" customHeight="false" outlineLevel="0" collapsed="false">
      <c r="A16" s="31" t="s">
        <v>754</v>
      </c>
      <c r="B16" s="31" t="s">
        <v>755</v>
      </c>
      <c r="C16" s="31" t="s">
        <v>756</v>
      </c>
      <c r="D16" s="38" t="n">
        <v>90</v>
      </c>
      <c r="E16" s="39" t="n">
        <v>1.5</v>
      </c>
      <c r="F16" s="40" t="n">
        <f aca="false">IF(E16&gt;0,D16/E16,"")</f>
        <v>60</v>
      </c>
      <c r="G16" s="31" t="s">
        <v>393</v>
      </c>
      <c r="H16" s="31" t="s">
        <v>757</v>
      </c>
    </row>
    <row r="17" customFormat="false" ht="15" hidden="false" customHeight="false" outlineLevel="0" collapsed="false">
      <c r="A17" s="31" t="s">
        <v>758</v>
      </c>
      <c r="B17" s="31" t="s">
        <v>759</v>
      </c>
      <c r="C17" s="31" t="s">
        <v>760</v>
      </c>
      <c r="D17" s="34" t="n">
        <v>0.3</v>
      </c>
      <c r="E17" s="39" t="n">
        <v>0</v>
      </c>
      <c r="F17" s="40" t="str">
        <f aca="false">IF(E17&gt;0,D17/E17,"")</f>
        <v/>
      </c>
      <c r="G17" s="31" t="s">
        <v>761</v>
      </c>
      <c r="H17" s="31" t="s">
        <v>722</v>
      </c>
    </row>
    <row r="18" customFormat="false" ht="15" hidden="false" customHeight="false" outlineLevel="0" collapsed="false">
      <c r="A18" s="31" t="s">
        <v>762</v>
      </c>
      <c r="B18" s="31" t="s">
        <v>763</v>
      </c>
      <c r="C18" s="31"/>
      <c r="D18" s="34" t="n">
        <v>0.5</v>
      </c>
      <c r="E18" s="39" t="n">
        <v>0</v>
      </c>
      <c r="F18" s="40" t="str">
        <f aca="false">IF(E18&gt;0,D18/E18,"")</f>
        <v/>
      </c>
      <c r="G18" s="31" t="s">
        <v>761</v>
      </c>
      <c r="H18" s="31" t="s">
        <v>722</v>
      </c>
    </row>
    <row r="19" customFormat="false" ht="23.85" hidden="false" customHeight="false" outlineLevel="0" collapsed="false">
      <c r="A19" s="31" t="s">
        <v>764</v>
      </c>
      <c r="B19" s="31" t="s">
        <v>765</v>
      </c>
      <c r="C19" s="31"/>
      <c r="D19" s="38" t="n">
        <v>0</v>
      </c>
      <c r="E19" s="39" t="n">
        <v>0</v>
      </c>
      <c r="F19" s="40" t="str">
        <f aca="false">IF(E19&gt;0,D19/E19,"")</f>
        <v/>
      </c>
      <c r="G19" s="31" t="s">
        <v>766</v>
      </c>
      <c r="H19" s="31" t="s">
        <v>767</v>
      </c>
    </row>
    <row r="20" customFormat="false" ht="15" hidden="false" customHeight="false" outlineLevel="0" collapsed="false">
      <c r="A20" s="31" t="s">
        <v>768</v>
      </c>
      <c r="B20" s="31" t="s">
        <v>769</v>
      </c>
      <c r="C20" s="31"/>
      <c r="D20" s="38" t="n">
        <v>0</v>
      </c>
      <c r="E20" s="39" t="n">
        <v>0</v>
      </c>
      <c r="F20" s="40" t="str">
        <f aca="false">IF(E20&gt;0,D20/E20,"")</f>
        <v/>
      </c>
      <c r="G20" s="31" t="s">
        <v>770</v>
      </c>
      <c r="H20" s="31"/>
    </row>
    <row r="21" customFormat="false" ht="15" hidden="false" customHeight="false" outlineLevel="0" collapsed="false">
      <c r="A21" s="31" t="s">
        <v>771</v>
      </c>
      <c r="B21" s="31" t="s">
        <v>772</v>
      </c>
      <c r="C21" s="31" t="s">
        <v>773</v>
      </c>
      <c r="D21" s="38" t="n">
        <v>120</v>
      </c>
      <c r="E21" s="39" t="n">
        <v>2.5</v>
      </c>
      <c r="F21" s="40" t="n">
        <f aca="false">IF(E21&gt;0,D21/E21,"")</f>
        <v>48</v>
      </c>
      <c r="G21" s="31" t="s">
        <v>774</v>
      </c>
      <c r="H21"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9106"/>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40"/>
  </cols>
  <sheetData>
    <row r="1" customFormat="false" ht="17.35" hidden="false" customHeight="false" outlineLevel="0" collapsed="false">
      <c r="A1" s="5" t="s">
        <v>775</v>
      </c>
    </row>
    <row r="2" customFormat="false" ht="15" hidden="false" customHeight="false" outlineLevel="0" collapsed="false">
      <c r="A2" s="6" t="s">
        <v>776</v>
      </c>
    </row>
    <row r="4" customFormat="false" ht="30" hidden="false" customHeight="true" outlineLevel="0" collapsed="false">
      <c r="A4" s="7" t="s">
        <v>777</v>
      </c>
      <c r="B4" s="7" t="s">
        <v>778</v>
      </c>
      <c r="C4" s="7" t="s">
        <v>779</v>
      </c>
    </row>
    <row r="5" customFormat="false" ht="23.85" hidden="false" customHeight="false" outlineLevel="0" collapsed="false">
      <c r="A5" s="31" t="s">
        <v>780</v>
      </c>
      <c r="B5" s="31" t="s">
        <v>781</v>
      </c>
      <c r="C5" s="31" t="s">
        <v>782</v>
      </c>
    </row>
    <row r="6" customFormat="false" ht="15" hidden="false" customHeight="false" outlineLevel="0" collapsed="false">
      <c r="A6" s="31" t="s">
        <v>783</v>
      </c>
      <c r="B6" s="31" t="s">
        <v>784</v>
      </c>
      <c r="C6" s="31" t="s">
        <v>785</v>
      </c>
    </row>
    <row r="7" customFormat="false" ht="15" hidden="false" customHeight="false" outlineLevel="0" collapsed="false">
      <c r="A7" s="31" t="s">
        <v>786</v>
      </c>
      <c r="B7" s="31" t="s">
        <v>787</v>
      </c>
      <c r="C7" s="31" t="s">
        <v>788</v>
      </c>
    </row>
    <row r="8" customFormat="false" ht="15" hidden="false" customHeight="false" outlineLevel="0" collapsed="false">
      <c r="A8" s="31" t="s">
        <v>789</v>
      </c>
      <c r="B8" s="31" t="s">
        <v>790</v>
      </c>
      <c r="C8" s="31" t="s">
        <v>788</v>
      </c>
    </row>
    <row r="9" customFormat="false" ht="23.85" hidden="false" customHeight="false" outlineLevel="0" collapsed="false">
      <c r="A9" s="31" t="s">
        <v>791</v>
      </c>
      <c r="B9" s="31" t="s">
        <v>792</v>
      </c>
      <c r="C9" s="31" t="s">
        <v>793</v>
      </c>
    </row>
    <row r="10" customFormat="false" ht="23.85" hidden="false" customHeight="false" outlineLevel="0" collapsed="false">
      <c r="A10" s="31" t="s">
        <v>794</v>
      </c>
      <c r="B10" s="31" t="s">
        <v>795</v>
      </c>
      <c r="C10" s="31" t="s">
        <v>796</v>
      </c>
    </row>
    <row r="11" customFormat="false" ht="15" hidden="false" customHeight="false" outlineLevel="0" collapsed="false">
      <c r="A11" s="31" t="s">
        <v>797</v>
      </c>
      <c r="B11" s="31" t="s">
        <v>798</v>
      </c>
      <c r="C11" s="31" t="s">
        <v>799</v>
      </c>
    </row>
    <row r="12" customFormat="false" ht="15" hidden="false" customHeight="false" outlineLevel="0" collapsed="false">
      <c r="A12" s="31" t="s">
        <v>800</v>
      </c>
      <c r="B12" s="31" t="s">
        <v>801</v>
      </c>
      <c r="C12" s="31" t="s">
        <v>796</v>
      </c>
    </row>
    <row r="13" customFormat="false" ht="23.85" hidden="false" customHeight="false" outlineLevel="0" collapsed="false">
      <c r="A13" s="31" t="s">
        <v>802</v>
      </c>
      <c r="B13" s="31" t="s">
        <v>803</v>
      </c>
      <c r="C13" s="31" t="s">
        <v>788</v>
      </c>
    </row>
    <row r="14" customFormat="false" ht="15" hidden="false" customHeight="false" outlineLevel="0" collapsed="false">
      <c r="A14" s="31" t="s">
        <v>804</v>
      </c>
      <c r="B14" s="31" t="s">
        <v>805</v>
      </c>
      <c r="C14" s="31" t="s">
        <v>806</v>
      </c>
    </row>
    <row r="15" customFormat="false" ht="23.85" hidden="false" customHeight="false" outlineLevel="0" collapsed="false">
      <c r="A15" s="31" t="s">
        <v>807</v>
      </c>
      <c r="B15" s="31" t="s">
        <v>808</v>
      </c>
      <c r="C15" s="31" t="s">
        <v>806</v>
      </c>
    </row>
    <row r="16" customFormat="false" ht="23.85" hidden="false" customHeight="false" outlineLevel="0" collapsed="false">
      <c r="A16" s="31" t="s">
        <v>809</v>
      </c>
      <c r="B16" s="31" t="s">
        <v>810</v>
      </c>
      <c r="C16" s="31" t="s">
        <v>806</v>
      </c>
    </row>
    <row r="17" customFormat="false" ht="23.85" hidden="false" customHeight="false" outlineLevel="0" collapsed="false">
      <c r="A17" s="31" t="s">
        <v>811</v>
      </c>
      <c r="B17" s="31" t="s">
        <v>812</v>
      </c>
      <c r="C17" s="31" t="s">
        <v>813</v>
      </c>
    </row>
    <row r="18" customFormat="false" ht="15" hidden="false" customHeight="false" outlineLevel="0" collapsed="false">
      <c r="A18" s="31" t="s">
        <v>814</v>
      </c>
      <c r="B18" s="31" t="s">
        <v>815</v>
      </c>
      <c r="C18" s="31" t="s">
        <v>806</v>
      </c>
    </row>
    <row r="19" customFormat="false" ht="23.85" hidden="false" customHeight="false" outlineLevel="0" collapsed="false">
      <c r="A19" s="31" t="s">
        <v>816</v>
      </c>
      <c r="B19" s="31" t="s">
        <v>817</v>
      </c>
      <c r="C19" s="31" t="s">
        <v>818</v>
      </c>
    </row>
    <row r="20" customFormat="false" ht="23.85" hidden="false" customHeight="false" outlineLevel="0" collapsed="false">
      <c r="A20" s="31" t="s">
        <v>819</v>
      </c>
      <c r="B20" s="31" t="s">
        <v>820</v>
      </c>
      <c r="C20" s="31" t="s">
        <v>806</v>
      </c>
    </row>
    <row r="21" customFormat="false" ht="23.85" hidden="false" customHeight="false" outlineLevel="0" collapsed="false">
      <c r="A21" s="31" t="s">
        <v>821</v>
      </c>
      <c r="B21" s="31" t="s">
        <v>822</v>
      </c>
      <c r="C21" s="31" t="s">
        <v>806</v>
      </c>
    </row>
    <row r="22" customFormat="false" ht="15" hidden="false" customHeight="false" outlineLevel="0" collapsed="false">
      <c r="A22" s="31" t="s">
        <v>823</v>
      </c>
      <c r="B22" s="31" t="s">
        <v>824</v>
      </c>
      <c r="C22" s="31" t="s">
        <v>825</v>
      </c>
    </row>
    <row r="23" customFormat="false" ht="15" hidden="false" customHeight="false" outlineLevel="0" collapsed="false">
      <c r="A23" s="31" t="s">
        <v>826</v>
      </c>
      <c r="B23" s="31" t="s">
        <v>827</v>
      </c>
      <c r="C23" s="31" t="s">
        <v>806</v>
      </c>
    </row>
    <row r="24" customFormat="false" ht="15" hidden="false" customHeight="false" outlineLevel="0" collapsed="false">
      <c r="A24" s="31" t="s">
        <v>828</v>
      </c>
      <c r="B24" s="31" t="s">
        <v>829</v>
      </c>
      <c r="C24" s="31" t="s">
        <v>806</v>
      </c>
    </row>
    <row r="25" customFormat="false" ht="23.85" hidden="false" customHeight="false" outlineLevel="0" collapsed="false">
      <c r="A25" s="31" t="s">
        <v>830</v>
      </c>
      <c r="B25" s="31" t="s">
        <v>831</v>
      </c>
      <c r="C25" s="31" t="s">
        <v>832</v>
      </c>
    </row>
    <row r="26" customFormat="false" ht="15" hidden="false" customHeight="false" outlineLevel="0" collapsed="false">
      <c r="A26" s="31" t="s">
        <v>833</v>
      </c>
      <c r="B26" s="31" t="s">
        <v>834</v>
      </c>
      <c r="C26" s="31" t="s">
        <v>835</v>
      </c>
    </row>
    <row r="27" customFormat="false" ht="15" hidden="false" customHeight="false" outlineLevel="0" collapsed="false">
      <c r="A27" s="31" t="s">
        <v>836</v>
      </c>
      <c r="B27" s="31" t="s">
        <v>837</v>
      </c>
      <c r="C27" s="31" t="s">
        <v>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2026-10-15T07:36:20Z</dcterms:created>
  <dc:creator>openpyxl</dc:creator>
  <dc:description/>
  <dc:language>en-US</dc:language>
  <cp:lastModifiedBy/>
  <dcterms:modified xsi:type="dcterms:W3CDTF">2026-10-15T07:36:20Z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